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7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Revenue Optimization simulation" sheetId="1" state="hidden" r:id="rId3"/>
    <sheet name="Sheet1" sheetId="2" state="hidden" r:id="rId4"/>
    <sheet name="original" sheetId="3" state="visible" r:id="rId5"/>
    <sheet name="copy" sheetId="4" state="hidden" r:id="rId6"/>
    <sheet name="customer" sheetId="5" state="visible" r:id="rId7"/>
    <sheet name="value propositions" sheetId="6" state="visible" r:id="rId8"/>
    <sheet name="channels" sheetId="7" state="visible" r:id="rId9"/>
    <sheet name="relationships" sheetId="8" state="visible" r:id="rId10"/>
    <sheet name="activities" sheetId="9" state="visible" r:id="rId11"/>
    <sheet name="resources" sheetId="10" state="visible" r:id="rId12"/>
    <sheet name="partnerships" sheetId="11" state="visible" r:id="rId13"/>
    <sheet name="revenue_streams" sheetId="12" state="visible" r:id="rId14"/>
    <sheet name="cost_structure" sheetId="13" state="visible" r:id="rId15"/>
    <sheet name="commercialization_matrix" sheetId="14" state="visible" r:id="rId16"/>
    <sheet name="overall_feasibility_analysis" sheetId="15" state="visible" r:id="rId17"/>
    <sheet name="overall_feasibility_analysi (2)" sheetId="16" state="visible" r:id="rId18"/>
    <sheet name="Sheet2 (2)" sheetId="17" state="hidden" r:id="rId19"/>
    <sheet name="Sheet4" sheetId="18" state="hidden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0- no exclusive
1- less exclusive
5- full exclusive</t>
        </r>
      </text>
    </comment>
  </commentList>
</comments>
</file>

<file path=xl/sharedStrings.xml><?xml version="1.0" encoding="utf-8"?>
<sst xmlns="http://schemas.openxmlformats.org/spreadsheetml/2006/main" count="781" uniqueCount="275">
  <si>
    <r>
      <rPr>
        <b val="true"/>
        <sz val="11"/>
        <color theme="9" tint="-0.5"/>
        <rFont val="Aptos Narrow"/>
        <family val="2"/>
        <charset val="1"/>
      </rPr>
      <t xml:space="preserve"> Business Channel  (Select dropdown Menue), Set</t>
    </r>
    <r>
      <rPr>
        <b val="true"/>
        <sz val="11"/>
        <color theme="1"/>
        <rFont val="Aptos Narrow"/>
        <family val="2"/>
        <charset val="1"/>
      </rPr>
      <t xml:space="preserve"> Scores </t>
    </r>
    <r>
      <rPr>
        <b val="true"/>
        <sz val="11"/>
        <color theme="9" tint="-0.5"/>
        <rFont val="Aptos Narrow"/>
        <family val="2"/>
        <charset val="1"/>
      </rPr>
      <t xml:space="preserve">&amp; Calculate Charges</t>
    </r>
  </si>
  <si>
    <t xml:space="preserve">Charges</t>
  </si>
  <si>
    <t xml:space="preserve">Investment Strength Matrix</t>
  </si>
  <si>
    <t xml:space="preserve">Score Points</t>
  </si>
  <si>
    <t xml:space="preserve">Royalty</t>
  </si>
  <si>
    <t xml:space="preserve">Fees</t>
  </si>
  <si>
    <t xml:space="preserve">spinoff</t>
  </si>
  <si>
    <t xml:space="preserve">Franchise</t>
  </si>
  <si>
    <t xml:space="preserve">Other</t>
  </si>
  <si>
    <t xml:space="preserve">Strength of idea/ Concept: O- 5 × 5 OMR</t>
  </si>
  <si>
    <t xml:space="preserve">1 to 5*1</t>
  </si>
  <si>
    <t xml:space="preserve">Prototype readiness for commercialisation: 0-5×10 OMR</t>
  </si>
  <si>
    <t xml:space="preserve">1 to 5*2</t>
  </si>
  <si>
    <t xml:space="preserve">Piloting Scale :0-5 × 100</t>
  </si>
  <si>
    <t xml:space="preserve">1 to 5*3</t>
  </si>
  <si>
    <t xml:space="preserve">Franchising : 0-5× 1000</t>
  </si>
  <si>
    <t xml:space="preserve">1 to 5</t>
  </si>
  <si>
    <t xml:space="preserve">IP Strength : 0 × 5 × 100 OMR</t>
  </si>
  <si>
    <t xml:space="preserve">1 to 5*5</t>
  </si>
  <si>
    <t xml:space="preserve">Branding readiness :0-5 × 100 OMR</t>
  </si>
  <si>
    <t xml:space="preserve">commercialisation Readiness: 0-5×100 OMR</t>
  </si>
  <si>
    <t xml:space="preserve">1 to 5*10</t>
  </si>
  <si>
    <t xml:space="preserve">Exclusivity: :0-5×100 OMR</t>
  </si>
  <si>
    <t xml:space="preserve">1 to 5*100</t>
  </si>
  <si>
    <t xml:space="preserve">Total score = </t>
  </si>
  <si>
    <t xml:space="preserve">Total Charges =</t>
  </si>
  <si>
    <t xml:space="preserve">Targetted Markets </t>
  </si>
  <si>
    <t xml:space="preserve">Customers</t>
  </si>
  <si>
    <r>
      <rPr>
        <sz val="11"/>
        <color rgb="FFFF0000"/>
        <rFont val="Aptos Narrow"/>
        <family val="2"/>
        <charset val="1"/>
      </rPr>
      <t xml:space="preserve">Commercialization Channels- </t>
    </r>
    <r>
      <rPr>
        <sz val="11"/>
        <color rgb="FF00B050"/>
        <rFont val="Aptos Narrow"/>
        <family val="2"/>
        <charset val="1"/>
      </rPr>
      <t xml:space="preserve">Targetted</t>
    </r>
    <r>
      <rPr>
        <sz val="11"/>
        <color rgb="FFFF0000"/>
        <rFont val="Aptos Narrow"/>
        <family val="2"/>
        <charset val="1"/>
      </rPr>
      <t xml:space="preserve"> </t>
    </r>
    <r>
      <rPr>
        <sz val="11"/>
        <color theme="1"/>
        <rFont val="Aptos Narrow"/>
        <family val="2"/>
        <charset val="1"/>
      </rPr>
      <t xml:space="preserve">Number of Customers</t>
    </r>
  </si>
  <si>
    <t xml:space="preserve">Revenue</t>
  </si>
  <si>
    <t xml:space="preserve">Commercialization Channels-Revenue(in OMR)</t>
  </si>
  <si>
    <t xml:space="preserve">Region</t>
  </si>
  <si>
    <t xml:space="preserve">Segments </t>
  </si>
  <si>
    <t xml:space="preserve">Partners</t>
  </si>
  <si>
    <r>
      <rPr>
        <sz val="11"/>
        <color rgb="FFFF0000"/>
        <rFont val="Aptos Narrow"/>
        <family val="2"/>
        <charset val="1"/>
      </rPr>
      <t xml:space="preserve">Total</t>
    </r>
    <r>
      <rPr>
        <sz val="11"/>
        <color theme="1"/>
        <rFont val="Aptos Narrow"/>
        <family val="2"/>
        <charset val="1"/>
      </rPr>
      <t xml:space="preserve">  </t>
    </r>
    <r>
      <rPr>
        <sz val="11"/>
        <color rgb="FF00B050"/>
        <rFont val="Aptos Narrow"/>
        <family val="2"/>
        <charset val="1"/>
      </rPr>
      <t xml:space="preserve">Revenues</t>
    </r>
  </si>
  <si>
    <t xml:space="preserve">Channel</t>
  </si>
  <si>
    <t xml:space="preserve">Total</t>
  </si>
  <si>
    <t xml:space="preserve">Oman</t>
  </si>
  <si>
    <t xml:space="preserve">Segment 1</t>
  </si>
  <si>
    <t xml:space="preserve">Partners1</t>
  </si>
  <si>
    <t xml:space="preserve">Partners2</t>
  </si>
  <si>
    <t xml:space="preserve">Partners3</t>
  </si>
  <si>
    <t xml:space="preserve">Segment 2</t>
  </si>
  <si>
    <t xml:space="preserve">Partners4</t>
  </si>
  <si>
    <t xml:space="preserve">Partners5</t>
  </si>
  <si>
    <t xml:space="preserve">Partners6</t>
  </si>
  <si>
    <t xml:space="preserve">Segment3</t>
  </si>
  <si>
    <t xml:space="preserve">Partners7</t>
  </si>
  <si>
    <t xml:space="preserve">Partners8</t>
  </si>
  <si>
    <t xml:space="preserve">Partners9</t>
  </si>
  <si>
    <t xml:space="preserve">Total-Oman</t>
  </si>
  <si>
    <t xml:space="preserve">Iran</t>
  </si>
  <si>
    <t xml:space="preserve">Total-Iran</t>
  </si>
  <si>
    <t xml:space="preserve">Malaysia</t>
  </si>
  <si>
    <t xml:space="preserve">Total-Malaysia</t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</si>
  <si>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Revenues</t>
    </r>
  </si>
  <si>
    <t xml:space="preserve">Section 1</t>
  </si>
  <si>
    <t xml:space="preserve">Commercialisation Model: dropdown</t>
  </si>
  <si>
    <t xml:space="preserve">Should include all necessary sections of innovation driven businesses</t>
  </si>
  <si>
    <t xml:space="preserve">Innovation Canvas</t>
  </si>
  <si>
    <t xml:space="preserve">Customer Segments</t>
  </si>
  <si>
    <t xml:space="preserve">15 elements(incluidng commercualization feasi8nbility matrix)</t>
  </si>
  <si>
    <t xml:space="preserve">Section 2</t>
  </si>
  <si>
    <t xml:space="preserve">Value propositions</t>
  </si>
  <si>
    <t xml:space="preserve">Revenue stream</t>
  </si>
  <si>
    <t xml:space="preserve">Price from matrix</t>
  </si>
  <si>
    <t xml:space="preserve">targeted customers</t>
  </si>
  <si>
    <t xml:space="preserve">Section 3</t>
  </si>
  <si>
    <t xml:space="preserve">Channels</t>
  </si>
  <si>
    <t xml:space="preserve">Section 4</t>
  </si>
  <si>
    <t xml:space="preserve">Customer relationships</t>
  </si>
  <si>
    <t xml:space="preserve">Section 5</t>
  </si>
  <si>
    <t xml:space="preserve">key actvities</t>
  </si>
  <si>
    <t xml:space="preserve">Section 6</t>
  </si>
  <si>
    <t xml:space="preserve">Key resources</t>
  </si>
  <si>
    <t xml:space="preserve">Section 7</t>
  </si>
  <si>
    <t xml:space="preserve">Key partnerships</t>
  </si>
  <si>
    <t xml:space="preserve">Commercialisation Feasibility Matrix</t>
  </si>
  <si>
    <t xml:space="preserve">Feasibility</t>
  </si>
  <si>
    <t xml:space="preserve">Section 8</t>
  </si>
  <si>
    <t xml:space="preserve">Feasibility matrix--pricing</t>
  </si>
  <si>
    <t xml:space="preserve">Revenue Streams</t>
  </si>
  <si>
    <t xml:space="preserve">Section 9</t>
  </si>
  <si>
    <t xml:space="preserve">Number of customers</t>
  </si>
  <si>
    <t xml:space="preserve">Section 10</t>
  </si>
  <si>
    <t xml:space="preserve">Costs</t>
  </si>
  <si>
    <t xml:space="preserve">Section 11</t>
  </si>
  <si>
    <t xml:space="preserve">Financial Plan</t>
  </si>
  <si>
    <t xml:space="preserve">COGS</t>
  </si>
  <si>
    <t xml:space="preserve">GP</t>
  </si>
  <si>
    <t xml:space="preserve">Op ex</t>
  </si>
  <si>
    <t xml:space="preserve">Net profit</t>
  </si>
  <si>
    <t xml:space="preserve">ROI</t>
  </si>
  <si>
    <t xml:space="preserve">Breakeven</t>
  </si>
  <si>
    <t xml:space="preserve">Innovation Canvas---&gt; Innovation feasibility---&gt;Innovation commercialization plan</t>
  </si>
  <si>
    <t xml:space="preserve">Progress 0</t>
  </si>
  <si>
    <t xml:space="preserve">Progress 1</t>
  </si>
  <si>
    <t xml:space="preserve">Progress 2</t>
  </si>
  <si>
    <t xml:space="preserve">Progress 3</t>
  </si>
  <si>
    <t xml:space="preserve">Progress 4</t>
  </si>
  <si>
    <t xml:space="preserve">Progress 5</t>
  </si>
  <si>
    <t xml:space="preserve">Progress 6</t>
  </si>
  <si>
    <t xml:space="preserve">Progress 7</t>
  </si>
  <si>
    <t xml:space="preserve">Progress 8</t>
  </si>
  <si>
    <t xml:space="preserve">Progress 9</t>
  </si>
  <si>
    <t xml:space="preserve">Progress 10</t>
  </si>
  <si>
    <t xml:space="preserve">Understanding</t>
  </si>
  <si>
    <t xml:space="preserve">Shares for Mediating Agencies</t>
  </si>
  <si>
    <t xml:space="preserve">Simulation</t>
  </si>
  <si>
    <t xml:space="preserve">Key Partnerships</t>
  </si>
  <si>
    <t xml:space="preserve">Linking &amp; Bridging = 10,20,30% of Royality Charges </t>
  </si>
  <si>
    <t xml:space="preserve">Maintenance &amp; Improvement 10,20,30% of Royality Charge</t>
  </si>
  <si>
    <t xml:space="preserve">Setcion 4</t>
  </si>
  <si>
    <t xml:space="preserve">KPIs &amp; Targets</t>
  </si>
  <si>
    <t xml:space="preserve">Break-Even analysis</t>
  </si>
  <si>
    <t xml:space="preserve">Approval </t>
  </si>
  <si>
    <t xml:space="preserve">Provisional</t>
  </si>
  <si>
    <t xml:space="preserve">Tabulated clients list </t>
  </si>
  <si>
    <t xml:space="preserve">Individual or Entity</t>
  </si>
  <si>
    <t xml:space="preserve">Name</t>
  </si>
  <si>
    <t xml:space="preserve">Package System </t>
  </si>
  <si>
    <t xml:space="preserve">Royality Fees </t>
  </si>
  <si>
    <t xml:space="preserve">Payment Mode (monthly or Annual)</t>
  </si>
  <si>
    <t xml:space="preserve">Provisional field </t>
  </si>
  <si>
    <t xml:space="preserve">Provisional </t>
  </si>
  <si>
    <t xml:space="preserve">Section 1: Innovation Canvas</t>
  </si>
  <si>
    <t xml:space="preserve">Customer Segments(name)</t>
  </si>
  <si>
    <t xml:space="preserve">Job Seekers (Fresh Graduates)</t>
  </si>
  <si>
    <t xml:space="preserve">3 Million OMR</t>
  </si>
  <si>
    <t xml:space="preserve">Skilled Professionals</t>
  </si>
  <si>
    <t xml:space="preserve">4 Million OMR</t>
  </si>
  <si>
    <t xml:space="preserve">Employers &amp; Companies (SMEs, Corporates)</t>
  </si>
  <si>
    <t xml:space="preserve">6 Million OMR</t>
  </si>
  <si>
    <t xml:space="preserve">Recruitment Agencies</t>
  </si>
  <si>
    <t xml:space="preserve">2 Million OMR</t>
  </si>
  <si>
    <t xml:space="preserve">Other Segments</t>
  </si>
  <si>
    <t xml:space="preserve">Value Propositions(name)</t>
  </si>
  <si>
    <t xml:space="preserve">AI-Powered Job Matching</t>
  </si>
  <si>
    <t xml:space="preserve">Uses AI to match job seekers with relevant job postings based on skills and experience.</t>
  </si>
  <si>
    <t xml:space="preserve">Verified Employer Listings</t>
  </si>
  <si>
    <t xml:space="preserve">Ensures job listings are authentic and from credible companies.</t>
  </si>
  <si>
    <t xml:space="preserve">Career Development &amp; Upskilling</t>
  </si>
  <si>
    <t xml:space="preserve">Provides online courses, resume-building tools, and interview coaching.</t>
  </si>
  <si>
    <t xml:space="preserve">Seamless Hiring Process</t>
  </si>
  <si>
    <t xml:space="preserve">Employers can streamline recruitment with automated shortlisting and scheduling.</t>
  </si>
  <si>
    <t xml:space="preserve">Sales Channels(eg. Distributor, direct,none)</t>
  </si>
  <si>
    <t xml:space="preserve">Direct Sales</t>
  </si>
  <si>
    <t xml:space="preserve">Subscription-based plans for employers and recruiters.</t>
  </si>
  <si>
    <t xml:space="preserve">Online Platform</t>
  </si>
  <si>
    <t xml:space="preserve">Web and mobile app for job seekers and recruiters.</t>
  </si>
  <si>
    <t xml:space="preserve">Partnerships</t>
  </si>
  <si>
    <t xml:space="preserve">Collaboration with universities, training centers, and businesses</t>
  </si>
  <si>
    <t xml:space="preserve">Other Channels</t>
  </si>
  <si>
    <t xml:space="preserve">Customer Relationships(example service call center/email/whatsapp)</t>
  </si>
  <si>
    <t xml:space="preserve">24/7 Live Chat Support</t>
  </si>
  <si>
    <t xml:space="preserve">Instant help for job seekers and employers.</t>
  </si>
  <si>
    <t xml:space="preserve">WhatsApp &amp; Email Support</t>
  </si>
  <si>
    <t xml:space="preserve">Easy access to customer support for queries.</t>
  </si>
  <si>
    <t xml:space="preserve">Community Engagement</t>
  </si>
  <si>
    <t xml:space="preserve">Online forums, blogs, and networking events for career advice.</t>
  </si>
  <si>
    <t xml:space="preserve">Other Customer Relationship</t>
  </si>
  <si>
    <t xml:space="preserve">Key Activities(name)</t>
  </si>
  <si>
    <t xml:space="preserve">Platform Development</t>
  </si>
  <si>
    <t xml:space="preserve">Building and maintaining the web &amp; mobile application.</t>
  </si>
  <si>
    <t xml:space="preserve">Job Listings Management</t>
  </si>
  <si>
    <t xml:space="preserve">Verifying employer job postings and monitoring fake listings.</t>
  </si>
  <si>
    <t xml:space="preserve">AI Job Matching</t>
  </si>
  <si>
    <t xml:space="preserve">Implementing and refining AI algorithms for better job recommendations.</t>
  </si>
  <si>
    <t xml:space="preserve">Marketing &amp; Outreach</t>
  </si>
  <si>
    <t xml:space="preserve">Digital marketing campaigns to attract job seekers and employers.</t>
  </si>
  <si>
    <t xml:space="preserve">Key Resources(name)</t>
  </si>
  <si>
    <t xml:space="preserve">Software Developers</t>
  </si>
  <si>
    <t xml:space="preserve">80,000 OMR annually</t>
  </si>
  <si>
    <t xml:space="preserve">AI Algorithms</t>
  </si>
  <si>
    <t xml:space="preserve">25,000 OMR research &amp; development</t>
  </si>
  <si>
    <t xml:space="preserve">Marketing &amp; Branding</t>
  </si>
  <si>
    <t xml:space="preserve">40,000 OMR per year</t>
  </si>
  <si>
    <t xml:space="preserve">Customer Support Team</t>
  </si>
  <si>
    <t xml:space="preserve">30,000 OMR annually</t>
  </si>
  <si>
    <t xml:space="preserve">Key Partnerships(name)</t>
  </si>
  <si>
    <t xml:space="preserve">Universities &amp; Training Centers</t>
  </si>
  <si>
    <t xml:space="preserve">Collaboration to help fresh graduates find jobs and improve skills.</t>
  </si>
  <si>
    <t xml:space="preserve">Corporate Employers</t>
  </si>
  <si>
    <t xml:space="preserve">Partnerships to list verified job openings and internships.</t>
  </si>
  <si>
    <t xml:space="preserve">Government Agencies</t>
  </si>
  <si>
    <t xml:space="preserve">Working with labor and employment ministries for regulatory compliance.</t>
  </si>
  <si>
    <t xml:space="preserve">Integrating their job postings and hiring services into the platform.</t>
  </si>
  <si>
    <t xml:space="preserve">Projected Revenue (in OMR)</t>
  </si>
  <si>
    <t xml:space="preserve">Cost Structure</t>
  </si>
  <si>
    <t xml:space="preserve">COGS/Cost of Sales for Royalty</t>
  </si>
  <si>
    <t xml:space="preserve">COGS/Cost of Sales for Fees</t>
  </si>
  <si>
    <t xml:space="preserve">COGS/Cost of Sales for spinoff</t>
  </si>
  <si>
    <t xml:space="preserve">COGS/Cost of Sales for Franchise</t>
  </si>
  <si>
    <t xml:space="preserve">COGS/Cost of Sales for Other</t>
  </si>
  <si>
    <t xml:space="preserve">Total COGS/Cost of Sales</t>
  </si>
  <si>
    <t xml:space="preserve">Operating costs</t>
  </si>
  <si>
    <t xml:space="preserve">Direct Fixed costs(Assets+Development cost)</t>
  </si>
  <si>
    <t xml:space="preserve">Other Cost(Name of Cost)</t>
  </si>
  <si>
    <t xml:space="preserve">Allow multiple ("+" or "Add")</t>
  </si>
  <si>
    <t xml:space="preserve">Total Costs</t>
  </si>
  <si>
    <t xml:space="preserve">Spinoff</t>
  </si>
  <si>
    <t xml:space="preserve">Others</t>
  </si>
  <si>
    <t xml:space="preserve">Commercialization Matrix
(For pricing)</t>
  </si>
  <si>
    <t xml:space="preserve">Elements/constituents</t>
  </si>
  <si>
    <t xml:space="preserve">Factor (Magnitude of Strength)</t>
  </si>
  <si>
    <t xml:space="preserve">sacle(dropdown 0-5)</t>
  </si>
  <si>
    <t xml:space="preserve">Strength of idea/ Concept</t>
  </si>
  <si>
    <t xml:space="preserve">Prototype readiness for commercialisation</t>
  </si>
  <si>
    <t xml:space="preserve">Completion &amp; Quality of Piloting Scale </t>
  </si>
  <si>
    <t xml:space="preserve">IP Protection Strength </t>
  </si>
  <si>
    <t xml:space="preserve">Branding Readiness </t>
  </si>
  <si>
    <t xml:space="preserve">Commercialisation Readiness</t>
  </si>
  <si>
    <t xml:space="preserve">Exclusivity (0 score no Execlusivity &amp; 5 Full Execlusivity) </t>
  </si>
  <si>
    <t xml:space="preserve">Section 2: Investment feasibility</t>
  </si>
  <si>
    <t xml:space="preserve">Overall Feasibility Analysis</t>
  </si>
  <si>
    <t xml:space="preserve">Cogs/Costs of sales</t>
  </si>
  <si>
    <t xml:space="preserve">Gross Profit (in OMR)</t>
  </si>
  <si>
    <t xml:space="preserve">Gross Profit (in %)</t>
  </si>
  <si>
    <t xml:space="preserve">Total Annual Revenue( from revenue streams value from canvas)</t>
  </si>
  <si>
    <t xml:space="preserve">COGS/Cost of Sales(from cogs/costs of sales value from canvas)</t>
  </si>
  <si>
    <t xml:space="preserve">Gross Profit(value in OMR)</t>
  </si>
  <si>
    <t xml:space="preserve">Operating Costs(from total costs value from canvas)</t>
  </si>
  <si>
    <t xml:space="preserve">Net Profit(value in OMR)</t>
  </si>
  <si>
    <t xml:space="preserve">Direct Fixed+ Other costs</t>
  </si>
  <si>
    <t xml:space="preserve">Return on Investment =(net profit-investment)/investment*100</t>
  </si>
  <si>
    <t xml:space="preserve">Pay-Back period (in years)</t>
  </si>
  <si>
    <t xml:space="preserve">Section</t>
  </si>
  <si>
    <t xml:space="preserve">Field Name</t>
  </si>
  <si>
    <t xml:space="preserve">Value1</t>
  </si>
  <si>
    <t xml:space="preserve">Value2</t>
  </si>
  <si>
    <t xml:space="preserve">segments</t>
  </si>
  <si>
    <t xml:space="preserve">Customer Relationships</t>
  </si>
  <si>
    <t xml:space="preserve">section</t>
  </si>
  <si>
    <t xml:space="preserve">field</t>
  </si>
  <si>
    <t xml:space="preserve">value1</t>
  </si>
  <si>
    <t xml:space="preserve">value2</t>
  </si>
  <si>
    <t xml:space="preserve">value</t>
  </si>
  <si>
    <t xml:space="preserve">factor</t>
  </si>
  <si>
    <t xml:space="preserve">royalty_scale</t>
  </si>
  <si>
    <t xml:space="preserve">royalty_charges</t>
  </si>
  <si>
    <t xml:space="preserve">fees_scale</t>
  </si>
  <si>
    <t xml:space="preserve">fees_charges</t>
  </si>
  <si>
    <t xml:space="preserve">spinoff_scale</t>
  </si>
  <si>
    <t xml:space="preserve">spinoff_charges</t>
  </si>
  <si>
    <t xml:space="preserve">franchise_scale</t>
  </si>
  <si>
    <t xml:space="preserve">franchise_charges</t>
  </si>
  <si>
    <t xml:space="preserve">others_scale</t>
  </si>
  <si>
    <t xml:space="preserve">others_charges</t>
  </si>
  <si>
    <t xml:space="preserve">revenue</t>
  </si>
  <si>
    <t xml:space="preserve">cogs</t>
  </si>
  <si>
    <t xml:space="preserve">gross_profit</t>
  </si>
  <si>
    <t xml:space="preserve">gross_profit_percentage</t>
  </si>
  <si>
    <t xml:space="preserve">Charges/unit</t>
  </si>
  <si>
    <t xml:space="preserve">Scale</t>
  </si>
  <si>
    <t xml:space="preserve">Score</t>
  </si>
  <si>
    <t xml:space="preserve">Commercialisation charges/ Royality Feasibility matrix</t>
  </si>
  <si>
    <t xml:space="preserve">SI-6</t>
  </si>
  <si>
    <t xml:space="preserve">Eco House</t>
  </si>
  <si>
    <t xml:space="preserve">Green House</t>
  </si>
  <si>
    <t xml:space="preserve">Franchising Fees: 0-5× 100</t>
  </si>
  <si>
    <t xml:space="preserve">Total Fix Cahrge</t>
  </si>
  <si>
    <t xml:space="preserve">Total Charges</t>
  </si>
  <si>
    <t xml:space="preserve">Innovation canvas --&gt; innovation fininacial plan simulation--&gt;commercialization feasibility</t>
  </si>
  <si>
    <t xml:space="preserve">Exclusivity</t>
  </si>
  <si>
    <t xml:space="preserve">Number of targeted clients</t>
  </si>
  <si>
    <t xml:space="preserve">1- Maximum exclusivity</t>
  </si>
  <si>
    <t xml:space="preserve">Customer by regions</t>
  </si>
  <si>
    <t xml:space="preserve">5- Maximum 5 clients</t>
  </si>
  <si>
    <t xml:space="preserve">None</t>
  </si>
  <si>
    <t xml:space="preserve">1 person</t>
  </si>
  <si>
    <t xml:space="preserve">Segment</t>
  </si>
  <si>
    <t xml:space="preserve">Number of Customers</t>
  </si>
  <si>
    <t xml:space="preserve">Segments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</si>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</sst>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General"/>
    <numFmt numFmtId="168" formatCode="0%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9" tint="-0.5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9" tint="-0.5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B05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16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9"/>
      <color theme="1"/>
      <name val="Segoe UI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8"/>
        <bgColor rgb="FFC1E5F5"/>
      </patternFill>
    </fill>
    <fill>
      <patternFill patternType="solid">
        <fgColor theme="4" tint="0.7998"/>
        <bgColor rgb="FFCAEEFB"/>
      </patternFill>
    </fill>
    <fill>
      <patternFill patternType="solid">
        <fgColor theme="0"/>
        <bgColor rgb="FFFBE3D6"/>
      </patternFill>
    </fill>
    <fill>
      <patternFill patternType="solid">
        <fgColor theme="5" tint="0.7998"/>
        <bgColor rgb="FFD9F2D0"/>
      </patternFill>
    </fill>
    <fill>
      <patternFill patternType="solid">
        <fgColor theme="9" tint="0.7998"/>
        <bgColor rgb="FFCAEEFB"/>
      </patternFill>
    </fill>
    <fill>
      <patternFill patternType="solid">
        <fgColor theme="7" tint="0.5998"/>
        <bgColor rgb="FFC1E5F5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2753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3.18"/>
    <col collapsed="false" customWidth="true" hidden="false" outlineLevel="0" max="3" min="3" style="1" width="10.27"/>
    <col collapsed="false" customWidth="true" hidden="false" outlineLevel="0" max="6" min="6" style="1" width="10.54"/>
    <col collapsed="false" customWidth="true" hidden="false" outlineLevel="0" max="7" min="7" style="1" width="12.82"/>
    <col collapsed="false" customWidth="true" hidden="false" outlineLevel="0" max="8" min="8" style="1" width="18.82"/>
    <col collapsed="false" customWidth="true" hidden="false" outlineLevel="0" max="9" min="9" style="1" width="15.27"/>
    <col collapsed="false" customWidth="true" hidden="false" outlineLevel="0" max="11" min="11" style="1" width="15.18"/>
    <col collapsed="false" customWidth="true" hidden="false" outlineLevel="0" max="12" min="12" style="1" width="11.45"/>
    <col collapsed="false" customWidth="true" hidden="false" outlineLevel="0" max="13" min="13" style="1" width="10.27"/>
    <col collapsed="false" customWidth="true" hidden="false" outlineLevel="0" max="18" min="14" style="1" width="13.45"/>
    <col collapsed="false" customWidth="true" hidden="false" outlineLevel="0" max="19" min="19" style="1" width="16.27"/>
  </cols>
  <sheetData>
    <row r="1" customFormat="false" ht="28.5" hidden="false" customHeight="true" outlineLevel="0" collapsed="false">
      <c r="D1" s="2" t="s">
        <v>0</v>
      </c>
      <c r="E1" s="2"/>
      <c r="F1" s="2"/>
      <c r="G1" s="2"/>
      <c r="H1" s="2"/>
      <c r="N1" s="3" t="s">
        <v>1</v>
      </c>
      <c r="O1" s="3"/>
      <c r="P1" s="3"/>
      <c r="Q1" s="3"/>
      <c r="R1" s="3"/>
    </row>
    <row r="2" customFormat="false" ht="14.25" hidden="false" customHeight="false" outlineLevel="0" collapsed="false">
      <c r="A2" s="4" t="s">
        <v>2</v>
      </c>
      <c r="B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N2" s="7" t="s">
        <v>4</v>
      </c>
      <c r="O2" s="7" t="s">
        <v>5</v>
      </c>
      <c r="P2" s="7" t="s">
        <v>6</v>
      </c>
      <c r="Q2" s="7" t="s">
        <v>7</v>
      </c>
      <c r="R2" s="7" t="s">
        <v>8</v>
      </c>
    </row>
    <row r="3" customFormat="false" ht="14.25" hidden="false" customHeight="false" outlineLevel="0" collapsed="false">
      <c r="A3" s="5" t="s">
        <v>9</v>
      </c>
      <c r="B3" s="8" t="s">
        <v>10</v>
      </c>
      <c r="D3" s="9" t="n">
        <f aca="false">5*1</f>
        <v>5</v>
      </c>
      <c r="E3" s="9" t="n">
        <f aca="false">5*1</f>
        <v>5</v>
      </c>
      <c r="F3" s="9" t="n">
        <f aca="false">5*1</f>
        <v>5</v>
      </c>
      <c r="G3" s="9" t="n">
        <f aca="false">5*1</f>
        <v>5</v>
      </c>
      <c r="H3" s="9"/>
      <c r="N3" s="10" t="e">
        <f aca="false">$B$3*D3</f>
        <v>#VALUE!</v>
      </c>
      <c r="O3" s="10" t="e">
        <f aca="false">$B$3*E3</f>
        <v>#VALUE!</v>
      </c>
      <c r="P3" s="10" t="e">
        <f aca="false">$B$3*F3</f>
        <v>#VALUE!</v>
      </c>
      <c r="Q3" s="10" t="e">
        <f aca="false">$B$3*G3</f>
        <v>#VALUE!</v>
      </c>
      <c r="R3" s="10" t="e">
        <f aca="false">$B$3*H3</f>
        <v>#VALUE!</v>
      </c>
    </row>
    <row r="4" customFormat="false" ht="14.25" hidden="false" customHeight="false" outlineLevel="0" collapsed="false">
      <c r="A4" s="5" t="s">
        <v>11</v>
      </c>
      <c r="B4" s="8" t="s">
        <v>12</v>
      </c>
      <c r="D4" s="9" t="n">
        <f aca="false">4*2</f>
        <v>8</v>
      </c>
      <c r="E4" s="9" t="n">
        <f aca="false">4*2</f>
        <v>8</v>
      </c>
      <c r="F4" s="9" t="n">
        <f aca="false">4*2</f>
        <v>8</v>
      </c>
      <c r="G4" s="9" t="n">
        <f aca="false">4*2</f>
        <v>8</v>
      </c>
      <c r="H4" s="9"/>
      <c r="N4" s="10" t="e">
        <f aca="false">$B$4*D4</f>
        <v>#VALUE!</v>
      </c>
      <c r="O4" s="10" t="e">
        <f aca="false">$B$4*E4</f>
        <v>#VALUE!</v>
      </c>
      <c r="P4" s="10" t="e">
        <f aca="false">$B$4*F4</f>
        <v>#VALUE!</v>
      </c>
      <c r="Q4" s="10" t="e">
        <f aca="false">$B$4*G4</f>
        <v>#VALUE!</v>
      </c>
      <c r="R4" s="10" t="e">
        <f aca="false">$B$4*H4</f>
        <v>#VALUE!</v>
      </c>
    </row>
    <row r="5" customFormat="false" ht="14.25" hidden="false" customHeight="false" outlineLevel="0" collapsed="false">
      <c r="A5" s="5" t="s">
        <v>13</v>
      </c>
      <c r="B5" s="8" t="s">
        <v>14</v>
      </c>
      <c r="D5" s="9" t="n">
        <f aca="false">4*3</f>
        <v>12</v>
      </c>
      <c r="E5" s="9" t="n">
        <f aca="false">4*3</f>
        <v>12</v>
      </c>
      <c r="F5" s="9" t="n">
        <f aca="false">4*3</f>
        <v>12</v>
      </c>
      <c r="G5" s="9" t="n">
        <f aca="false">4*3</f>
        <v>12</v>
      </c>
      <c r="H5" s="9"/>
      <c r="N5" s="10" t="e">
        <f aca="false">$B$5*D5</f>
        <v>#VALUE!</v>
      </c>
      <c r="O5" s="10" t="e">
        <f aca="false">$B$5*E5</f>
        <v>#VALUE!</v>
      </c>
      <c r="P5" s="10" t="e">
        <f aca="false">$B$5*F5</f>
        <v>#VALUE!</v>
      </c>
      <c r="Q5" s="10" t="e">
        <f aca="false">$B$5*G5</f>
        <v>#VALUE!</v>
      </c>
      <c r="R5" s="10" t="e">
        <f aca="false">$B$5*H5</f>
        <v>#VALUE!</v>
      </c>
    </row>
    <row r="6" customFormat="false" ht="14.25" hidden="false" customHeight="false" outlineLevel="0" collapsed="false">
      <c r="A6" s="11" t="s">
        <v>15</v>
      </c>
      <c r="B6" s="12" t="s">
        <v>16</v>
      </c>
      <c r="D6" s="13" t="n">
        <v>4</v>
      </c>
      <c r="E6" s="13" t="n">
        <v>4</v>
      </c>
      <c r="F6" s="13" t="n">
        <v>4</v>
      </c>
      <c r="G6" s="13" t="n">
        <v>4</v>
      </c>
      <c r="H6" s="13"/>
      <c r="N6" s="10" t="e">
        <f aca="false">$B$6*D6</f>
        <v>#VALUE!</v>
      </c>
      <c r="O6" s="10" t="e">
        <f aca="false">$B$6*E6</f>
        <v>#VALUE!</v>
      </c>
      <c r="P6" s="10" t="e">
        <f aca="false">$B$6*F6</f>
        <v>#VALUE!</v>
      </c>
      <c r="Q6" s="10" t="e">
        <f aca="false">$B$6*G6</f>
        <v>#VALUE!</v>
      </c>
      <c r="R6" s="10" t="e">
        <f aca="false">$B$6*H6</f>
        <v>#VALUE!</v>
      </c>
    </row>
    <row r="7" customFormat="false" ht="14.25" hidden="false" customHeight="false" outlineLevel="0" collapsed="false">
      <c r="A7" s="5" t="s">
        <v>17</v>
      </c>
      <c r="B7" s="8" t="s">
        <v>18</v>
      </c>
      <c r="D7" s="9" t="n">
        <f aca="false">4*5</f>
        <v>20</v>
      </c>
      <c r="E7" s="9" t="n">
        <f aca="false">4*5</f>
        <v>20</v>
      </c>
      <c r="F7" s="9" t="n">
        <f aca="false">4*5</f>
        <v>20</v>
      </c>
      <c r="G7" s="9" t="n">
        <f aca="false">4*5</f>
        <v>20</v>
      </c>
      <c r="H7" s="9"/>
      <c r="N7" s="10" t="e">
        <f aca="false">$B$7*D7</f>
        <v>#VALUE!</v>
      </c>
      <c r="O7" s="10" t="e">
        <f aca="false">$B$7*E7</f>
        <v>#VALUE!</v>
      </c>
      <c r="P7" s="10" t="e">
        <f aca="false">$B$7*F7</f>
        <v>#VALUE!</v>
      </c>
      <c r="Q7" s="10" t="e">
        <f aca="false">$B$7*G7</f>
        <v>#VALUE!</v>
      </c>
      <c r="R7" s="10" t="e">
        <f aca="false">$B$7*H7</f>
        <v>#VALUE!</v>
      </c>
    </row>
    <row r="8" customFormat="false" ht="14.25" hidden="false" customHeight="false" outlineLevel="0" collapsed="false">
      <c r="A8" s="5" t="s">
        <v>19</v>
      </c>
      <c r="B8" s="8" t="s">
        <v>18</v>
      </c>
      <c r="D8" s="9" t="n">
        <f aca="false">4*5</f>
        <v>20</v>
      </c>
      <c r="E8" s="9" t="n">
        <f aca="false">4*5</f>
        <v>20</v>
      </c>
      <c r="F8" s="9" t="n">
        <f aca="false">2*5</f>
        <v>10</v>
      </c>
      <c r="G8" s="9" t="n">
        <f aca="false">4*5</f>
        <v>20</v>
      </c>
      <c r="H8" s="9"/>
      <c r="N8" s="10" t="e">
        <f aca="false">$B$8*D8</f>
        <v>#VALUE!</v>
      </c>
      <c r="O8" s="10" t="e">
        <f aca="false">$B$8*E8</f>
        <v>#VALUE!</v>
      </c>
      <c r="P8" s="10" t="e">
        <f aca="false">$B$8*F8</f>
        <v>#VALUE!</v>
      </c>
      <c r="Q8" s="10" t="e">
        <f aca="false">$B$8*G8</f>
        <v>#VALUE!</v>
      </c>
      <c r="R8" s="10" t="e">
        <f aca="false">$B$8*H8</f>
        <v>#VALUE!</v>
      </c>
    </row>
    <row r="9" customFormat="false" ht="14.25" hidden="false" customHeight="false" outlineLevel="0" collapsed="false">
      <c r="A9" s="5" t="s">
        <v>20</v>
      </c>
      <c r="B9" s="8" t="s">
        <v>21</v>
      </c>
      <c r="D9" s="9" t="n">
        <f aca="false">4*10</f>
        <v>40</v>
      </c>
      <c r="E9" s="9" t="n">
        <f aca="false">4*10</f>
        <v>40</v>
      </c>
      <c r="F9" s="9" t="n">
        <f aca="false">4*10</f>
        <v>40</v>
      </c>
      <c r="G9" s="9" t="n">
        <f aca="false">4*10</f>
        <v>40</v>
      </c>
      <c r="H9" s="9"/>
      <c r="N9" s="10" t="e">
        <f aca="false">$B$9*D9</f>
        <v>#VALUE!</v>
      </c>
      <c r="O9" s="10" t="e">
        <f aca="false">$B$9*E9</f>
        <v>#VALUE!</v>
      </c>
      <c r="P9" s="10" t="e">
        <f aca="false">$B$9*F9</f>
        <v>#VALUE!</v>
      </c>
      <c r="Q9" s="10" t="e">
        <f aca="false">$B$9*G9</f>
        <v>#VALUE!</v>
      </c>
      <c r="R9" s="10" t="e">
        <f aca="false">$B$9*H9</f>
        <v>#VALUE!</v>
      </c>
    </row>
    <row r="10" customFormat="false" ht="14.25" hidden="false" customHeight="false" outlineLevel="0" collapsed="false">
      <c r="A10" s="5" t="s">
        <v>22</v>
      </c>
      <c r="B10" s="8" t="s">
        <v>23</v>
      </c>
      <c r="D10" s="9" t="n">
        <f aca="false">0*100</f>
        <v>0</v>
      </c>
      <c r="E10" s="9" t="n">
        <f aca="false">5*100</f>
        <v>500</v>
      </c>
      <c r="F10" s="9" t="n">
        <f aca="false">1*100</f>
        <v>100</v>
      </c>
      <c r="G10" s="9" t="n">
        <f aca="false">5*100</f>
        <v>500</v>
      </c>
      <c r="H10" s="9"/>
      <c r="N10" s="10" t="e">
        <f aca="false">$B$10*D10</f>
        <v>#VALUE!</v>
      </c>
      <c r="O10" s="10" t="e">
        <f aca="false">$B$10*E10</f>
        <v>#VALUE!</v>
      </c>
      <c r="P10" s="10" t="e">
        <f aca="false">$B$10*F10</f>
        <v>#VALUE!</v>
      </c>
      <c r="Q10" s="10" t="e">
        <f aca="false">$B$10*G10</f>
        <v>#VALUE!</v>
      </c>
      <c r="R10" s="10" t="e">
        <f aca="false">$B$10*H10</f>
        <v>#VALUE!</v>
      </c>
    </row>
    <row r="11" customFormat="false" ht="14.25" hidden="false" customHeight="false" outlineLevel="0" collapsed="false">
      <c r="A11" s="5" t="s">
        <v>24</v>
      </c>
      <c r="B11" s="8"/>
      <c r="D11" s="14" t="n">
        <f aca="false">SUM(D3:D10)</f>
        <v>109</v>
      </c>
      <c r="E11" s="14" t="n">
        <f aca="false">SUM(E3:E10)</f>
        <v>609</v>
      </c>
      <c r="F11" s="14" t="n">
        <f aca="false">SUM(F3:F10)</f>
        <v>199</v>
      </c>
      <c r="G11" s="14" t="n">
        <f aca="false">SUM(G3:G10)</f>
        <v>609</v>
      </c>
      <c r="H11" s="14" t="n">
        <f aca="false">SUM(H3:H10)</f>
        <v>0</v>
      </c>
      <c r="N11" s="15"/>
      <c r="O11" s="15"/>
      <c r="P11" s="15"/>
      <c r="Q11" s="15"/>
      <c r="R11" s="15"/>
    </row>
    <row r="12" customFormat="false" ht="14.25" hidden="false" customHeight="false" outlineLevel="0" collapsed="false">
      <c r="A12" s="5" t="s">
        <v>25</v>
      </c>
      <c r="B12" s="8"/>
      <c r="C12" s="16"/>
      <c r="D12" s="17" t="n">
        <f aca="false">D11</f>
        <v>109</v>
      </c>
      <c r="E12" s="17" t="n">
        <f aca="false">E11</f>
        <v>609</v>
      </c>
      <c r="F12" s="17" t="n">
        <f aca="false">F11</f>
        <v>199</v>
      </c>
      <c r="G12" s="17" t="n">
        <f aca="false">G11</f>
        <v>609</v>
      </c>
      <c r="H12" s="17" t="n">
        <f aca="false">H11</f>
        <v>0</v>
      </c>
      <c r="N12" s="18" t="e">
        <f aca="false">SUM(N3:N10)</f>
        <v>#VALUE!</v>
      </c>
      <c r="O12" s="18" t="e">
        <f aca="false">SUM(O3:O10)</f>
        <v>#VALUE!</v>
      </c>
      <c r="P12" s="18" t="e">
        <f aca="false">SUM(P3:P10)</f>
        <v>#VALUE!</v>
      </c>
      <c r="Q12" s="18" t="e">
        <f aca="false">SUM(Q3:Q10)</f>
        <v>#VALUE!</v>
      </c>
      <c r="R12" s="18" t="e">
        <f aca="false">SUM(R3:R10)</f>
        <v>#VALUE!</v>
      </c>
    </row>
    <row r="14" customFormat="false" ht="14.25" hidden="false" customHeight="false" outlineLevel="0" collapsed="false">
      <c r="A14" s="19" t="s">
        <v>26</v>
      </c>
    </row>
    <row r="15" customFormat="false" ht="16.4" hidden="false" customHeight="false" outlineLevel="0" collapsed="false">
      <c r="A15" s="20" t="s">
        <v>27</v>
      </c>
      <c r="B15" s="21"/>
      <c r="C15" s="21"/>
      <c r="D15" s="22" t="s">
        <v>28</v>
      </c>
      <c r="E15" s="22"/>
      <c r="F15" s="22"/>
      <c r="G15" s="22"/>
      <c r="H15" s="22"/>
      <c r="I15" s="22"/>
      <c r="K15" s="23" t="s">
        <v>29</v>
      </c>
      <c r="L15" s="24"/>
      <c r="M15" s="24"/>
      <c r="N15" s="25" t="s">
        <v>30</v>
      </c>
      <c r="O15" s="25"/>
      <c r="P15" s="25"/>
      <c r="Q15" s="25"/>
      <c r="R15" s="25"/>
      <c r="S15" s="25"/>
    </row>
    <row r="16" customFormat="false" ht="16.4" hidden="false" customHeight="false" outlineLevel="0" collapsed="false">
      <c r="A16" s="21" t="s">
        <v>31</v>
      </c>
      <c r="B16" s="26" t="s">
        <v>32</v>
      </c>
      <c r="C16" s="21" t="s">
        <v>33</v>
      </c>
      <c r="D16" s="20" t="s">
        <v>4</v>
      </c>
      <c r="E16" s="20" t="s">
        <v>5</v>
      </c>
      <c r="F16" s="20" t="s">
        <v>6</v>
      </c>
      <c r="G16" s="20" t="s">
        <v>7</v>
      </c>
      <c r="H16" s="20" t="s">
        <v>8</v>
      </c>
      <c r="I16" s="20" t="s">
        <v>34</v>
      </c>
      <c r="K16" s="24" t="s">
        <v>31</v>
      </c>
      <c r="L16" s="24" t="s">
        <v>35</v>
      </c>
      <c r="M16" s="24" t="s">
        <v>33</v>
      </c>
      <c r="N16" s="24" t="s">
        <v>4</v>
      </c>
      <c r="O16" s="24" t="s">
        <v>5</v>
      </c>
      <c r="P16" s="24" t="s">
        <v>6</v>
      </c>
      <c r="Q16" s="24" t="s">
        <v>7</v>
      </c>
      <c r="R16" s="24" t="s">
        <v>8</v>
      </c>
      <c r="S16" s="24" t="s">
        <v>36</v>
      </c>
    </row>
    <row r="17" customFormat="false" ht="14.25" hidden="false" customHeight="true" outlineLevel="0" collapsed="false">
      <c r="A17" s="27" t="s">
        <v>37</v>
      </c>
      <c r="B17" s="28" t="s">
        <v>38</v>
      </c>
      <c r="C17" s="21" t="s">
        <v>39</v>
      </c>
      <c r="D17" s="29" t="n">
        <v>10</v>
      </c>
      <c r="E17" s="29" t="n">
        <v>10</v>
      </c>
      <c r="F17" s="29" t="n">
        <v>10</v>
      </c>
      <c r="G17" s="29" t="n">
        <v>10</v>
      </c>
      <c r="H17" s="29" t="n">
        <v>10</v>
      </c>
      <c r="I17" s="21" t="n">
        <f aca="false">SUM(D17:H17)</f>
        <v>50</v>
      </c>
      <c r="K17" s="25" t="s">
        <v>37</v>
      </c>
      <c r="L17" s="30" t="s">
        <v>38</v>
      </c>
      <c r="M17" s="24" t="s">
        <v>39</v>
      </c>
      <c r="N17" s="31" t="e">
        <f aca="false">D17*N$12</f>
        <v>#VALUE!</v>
      </c>
      <c r="O17" s="31" t="e">
        <f aca="false">E17*O$12</f>
        <v>#VALUE!</v>
      </c>
      <c r="P17" s="31" t="e">
        <f aca="false">F17*P$12</f>
        <v>#VALUE!</v>
      </c>
      <c r="Q17" s="31" t="e">
        <f aca="false">G17*Q$12</f>
        <v>#VALUE!</v>
      </c>
      <c r="R17" s="31" t="e">
        <f aca="false">H17*R$12</f>
        <v>#VALUE!</v>
      </c>
      <c r="S17" s="31" t="e">
        <f aca="false">SUM(N17:R17)</f>
        <v>#VALUE!</v>
      </c>
    </row>
    <row r="18" customFormat="false" ht="14.25" hidden="false" customHeight="false" outlineLevel="0" collapsed="false">
      <c r="A18" s="27"/>
      <c r="B18" s="28"/>
      <c r="C18" s="21" t="s">
        <v>40</v>
      </c>
      <c r="D18" s="29" t="n">
        <v>20</v>
      </c>
      <c r="E18" s="29" t="n">
        <v>20</v>
      </c>
      <c r="F18" s="29" t="n">
        <v>20</v>
      </c>
      <c r="G18" s="29" t="n">
        <v>20</v>
      </c>
      <c r="H18" s="29" t="n">
        <v>20</v>
      </c>
      <c r="I18" s="21" t="n">
        <f aca="false">SUM(D18:H18)</f>
        <v>100</v>
      </c>
      <c r="K18" s="25"/>
      <c r="L18" s="30"/>
      <c r="M18" s="24" t="s">
        <v>40</v>
      </c>
      <c r="N18" s="31" t="e">
        <f aca="false">D18*N$12</f>
        <v>#VALUE!</v>
      </c>
      <c r="O18" s="31" t="e">
        <f aca="false">E18*O$12</f>
        <v>#VALUE!</v>
      </c>
      <c r="P18" s="31" t="e">
        <f aca="false">F18*P$12</f>
        <v>#VALUE!</v>
      </c>
      <c r="Q18" s="31" t="e">
        <f aca="false">G18*Q$12</f>
        <v>#VALUE!</v>
      </c>
      <c r="R18" s="31" t="e">
        <f aca="false">H18*R$12</f>
        <v>#VALUE!</v>
      </c>
      <c r="S18" s="31" t="e">
        <f aca="false">SUM(N18:R18)</f>
        <v>#VALUE!</v>
      </c>
    </row>
    <row r="19" customFormat="false" ht="14.25" hidden="false" customHeight="false" outlineLevel="0" collapsed="false">
      <c r="A19" s="27"/>
      <c r="B19" s="28"/>
      <c r="C19" s="21" t="s">
        <v>41</v>
      </c>
      <c r="D19" s="29" t="n">
        <v>30</v>
      </c>
      <c r="E19" s="29" t="n">
        <v>30</v>
      </c>
      <c r="F19" s="29" t="n">
        <v>30</v>
      </c>
      <c r="G19" s="29" t="n">
        <v>30</v>
      </c>
      <c r="H19" s="29" t="n">
        <v>30</v>
      </c>
      <c r="I19" s="21" t="n">
        <f aca="false">SUM(D19:H19)</f>
        <v>150</v>
      </c>
      <c r="K19" s="25"/>
      <c r="L19" s="30"/>
      <c r="M19" s="24" t="s">
        <v>41</v>
      </c>
      <c r="N19" s="31" t="e">
        <f aca="false">D19*N$12</f>
        <v>#VALUE!</v>
      </c>
      <c r="O19" s="31" t="e">
        <f aca="false">E19*O$12</f>
        <v>#VALUE!</v>
      </c>
      <c r="P19" s="31" t="e">
        <f aca="false">F19*P$12</f>
        <v>#VALUE!</v>
      </c>
      <c r="Q19" s="31" t="e">
        <f aca="false">G19*Q$12</f>
        <v>#VALUE!</v>
      </c>
      <c r="R19" s="31" t="e">
        <f aca="false">H19*R$12</f>
        <v>#VALUE!</v>
      </c>
      <c r="S19" s="31" t="e">
        <f aca="false">SUM(N19:R19)</f>
        <v>#VALUE!</v>
      </c>
    </row>
    <row r="20" customFormat="false" ht="14.25" hidden="false" customHeight="true" outlineLevel="0" collapsed="false">
      <c r="A20" s="27"/>
      <c r="B20" s="28" t="s">
        <v>42</v>
      </c>
      <c r="C20" s="21" t="s">
        <v>43</v>
      </c>
      <c r="D20" s="29" t="n">
        <v>10</v>
      </c>
      <c r="E20" s="29" t="n">
        <v>10</v>
      </c>
      <c r="F20" s="29" t="n">
        <v>10</v>
      </c>
      <c r="G20" s="29" t="n">
        <v>10</v>
      </c>
      <c r="H20" s="29" t="n">
        <v>10</v>
      </c>
      <c r="I20" s="21" t="n">
        <f aca="false">SUM(D20:H20)</f>
        <v>50</v>
      </c>
      <c r="K20" s="25"/>
      <c r="L20" s="30" t="s">
        <v>42</v>
      </c>
      <c r="M20" s="24" t="s">
        <v>43</v>
      </c>
      <c r="N20" s="31" t="e">
        <f aca="false">D20*N$12</f>
        <v>#VALUE!</v>
      </c>
      <c r="O20" s="31" t="e">
        <f aca="false">E20*O$12</f>
        <v>#VALUE!</v>
      </c>
      <c r="P20" s="31" t="e">
        <f aca="false">F20*P$12</f>
        <v>#VALUE!</v>
      </c>
      <c r="Q20" s="31" t="e">
        <f aca="false">G20*Q$12</f>
        <v>#VALUE!</v>
      </c>
      <c r="R20" s="31" t="e">
        <f aca="false">H20*R$12</f>
        <v>#VALUE!</v>
      </c>
      <c r="S20" s="31" t="e">
        <f aca="false">SUM(N20:R20)</f>
        <v>#VALUE!</v>
      </c>
    </row>
    <row r="21" customFormat="false" ht="14.25" hidden="false" customHeight="false" outlineLevel="0" collapsed="false">
      <c r="A21" s="27"/>
      <c r="B21" s="28"/>
      <c r="C21" s="21" t="s">
        <v>44</v>
      </c>
      <c r="D21" s="29" t="n">
        <v>20</v>
      </c>
      <c r="E21" s="29" t="n">
        <v>20</v>
      </c>
      <c r="F21" s="29" t="n">
        <v>20</v>
      </c>
      <c r="G21" s="29" t="n">
        <v>20</v>
      </c>
      <c r="H21" s="29" t="n">
        <v>20</v>
      </c>
      <c r="I21" s="21" t="n">
        <f aca="false">SUM(D21:H21)</f>
        <v>100</v>
      </c>
      <c r="K21" s="25"/>
      <c r="L21" s="30"/>
      <c r="M21" s="24" t="s">
        <v>44</v>
      </c>
      <c r="N21" s="31" t="e">
        <f aca="false">D21*N$12</f>
        <v>#VALUE!</v>
      </c>
      <c r="O21" s="31" t="e">
        <f aca="false">E21*O$12</f>
        <v>#VALUE!</v>
      </c>
      <c r="P21" s="31" t="e">
        <f aca="false">F21*P$12</f>
        <v>#VALUE!</v>
      </c>
      <c r="Q21" s="31" t="e">
        <f aca="false">G21*Q$12</f>
        <v>#VALUE!</v>
      </c>
      <c r="R21" s="31" t="e">
        <f aca="false">H21*R$12</f>
        <v>#VALUE!</v>
      </c>
      <c r="S21" s="31" t="e">
        <f aca="false">SUM(N21:R21)</f>
        <v>#VALUE!</v>
      </c>
    </row>
    <row r="22" customFormat="false" ht="14.25" hidden="false" customHeight="false" outlineLevel="0" collapsed="false">
      <c r="A22" s="27"/>
      <c r="B22" s="28"/>
      <c r="C22" s="21" t="s">
        <v>45</v>
      </c>
      <c r="D22" s="29" t="n">
        <v>30</v>
      </c>
      <c r="E22" s="29" t="n">
        <v>30</v>
      </c>
      <c r="F22" s="29" t="n">
        <v>30</v>
      </c>
      <c r="G22" s="29" t="n">
        <v>30</v>
      </c>
      <c r="H22" s="29" t="n">
        <v>30</v>
      </c>
      <c r="I22" s="21" t="n">
        <f aca="false">SUM(D22:H22)</f>
        <v>150</v>
      </c>
      <c r="K22" s="25"/>
      <c r="L22" s="30"/>
      <c r="M22" s="24" t="s">
        <v>45</v>
      </c>
      <c r="N22" s="31" t="e">
        <f aca="false">D22*N$12</f>
        <v>#VALUE!</v>
      </c>
      <c r="O22" s="31" t="e">
        <f aca="false">E22*O$12</f>
        <v>#VALUE!</v>
      </c>
      <c r="P22" s="31" t="e">
        <f aca="false">F22*P$12</f>
        <v>#VALUE!</v>
      </c>
      <c r="Q22" s="31" t="e">
        <f aca="false">G22*Q$12</f>
        <v>#VALUE!</v>
      </c>
      <c r="R22" s="31" t="e">
        <f aca="false">H22*R$12</f>
        <v>#VALUE!</v>
      </c>
      <c r="S22" s="31" t="e">
        <f aca="false">SUM(N22:R22)</f>
        <v>#VALUE!</v>
      </c>
    </row>
    <row r="23" customFormat="false" ht="14.25" hidden="false" customHeight="true" outlineLevel="0" collapsed="false">
      <c r="A23" s="27"/>
      <c r="B23" s="28" t="s">
        <v>46</v>
      </c>
      <c r="C23" s="21" t="s">
        <v>47</v>
      </c>
      <c r="D23" s="29" t="n">
        <v>10</v>
      </c>
      <c r="E23" s="29" t="n">
        <v>10</v>
      </c>
      <c r="F23" s="29" t="n">
        <v>10</v>
      </c>
      <c r="G23" s="29" t="n">
        <v>10</v>
      </c>
      <c r="H23" s="29" t="n">
        <v>10</v>
      </c>
      <c r="I23" s="21" t="n">
        <f aca="false">SUM(D23:H23)</f>
        <v>50</v>
      </c>
      <c r="K23" s="25"/>
      <c r="L23" s="30" t="s">
        <v>46</v>
      </c>
      <c r="M23" s="24" t="s">
        <v>47</v>
      </c>
      <c r="N23" s="31" t="e">
        <f aca="false">D23*N$12</f>
        <v>#VALUE!</v>
      </c>
      <c r="O23" s="31" t="e">
        <f aca="false">E23*O$12</f>
        <v>#VALUE!</v>
      </c>
      <c r="P23" s="31" t="e">
        <f aca="false">F23*P$12</f>
        <v>#VALUE!</v>
      </c>
      <c r="Q23" s="31" t="e">
        <f aca="false">G23*Q$12</f>
        <v>#VALUE!</v>
      </c>
      <c r="R23" s="31" t="e">
        <f aca="false">H23*R$12</f>
        <v>#VALUE!</v>
      </c>
      <c r="S23" s="31" t="e">
        <f aca="false">SUM(N23:R23)</f>
        <v>#VALUE!</v>
      </c>
    </row>
    <row r="24" customFormat="false" ht="14.25" hidden="false" customHeight="false" outlineLevel="0" collapsed="false">
      <c r="A24" s="27"/>
      <c r="B24" s="28"/>
      <c r="C24" s="21" t="s">
        <v>48</v>
      </c>
      <c r="D24" s="29" t="n">
        <v>20</v>
      </c>
      <c r="E24" s="29" t="n">
        <v>20</v>
      </c>
      <c r="F24" s="29" t="n">
        <v>20</v>
      </c>
      <c r="G24" s="29" t="n">
        <v>20</v>
      </c>
      <c r="H24" s="29" t="n">
        <v>20</v>
      </c>
      <c r="I24" s="21" t="n">
        <f aca="false">SUM(D24:H24)</f>
        <v>100</v>
      </c>
      <c r="K24" s="25"/>
      <c r="L24" s="30"/>
      <c r="M24" s="24" t="s">
        <v>48</v>
      </c>
      <c r="N24" s="31" t="e">
        <f aca="false">D24*N$12</f>
        <v>#VALUE!</v>
      </c>
      <c r="O24" s="31" t="e">
        <f aca="false">E24*O$12</f>
        <v>#VALUE!</v>
      </c>
      <c r="P24" s="31" t="e">
        <f aca="false">F24*P$12</f>
        <v>#VALUE!</v>
      </c>
      <c r="Q24" s="31" t="e">
        <f aca="false">G24*Q$12</f>
        <v>#VALUE!</v>
      </c>
      <c r="R24" s="31" t="e">
        <f aca="false">H24*R$12</f>
        <v>#VALUE!</v>
      </c>
      <c r="S24" s="31" t="e">
        <f aca="false">SUM(N24:R24)</f>
        <v>#VALUE!</v>
      </c>
    </row>
    <row r="25" customFormat="false" ht="14.25" hidden="false" customHeight="false" outlineLevel="0" collapsed="false">
      <c r="A25" s="27"/>
      <c r="B25" s="28"/>
      <c r="C25" s="21" t="s">
        <v>49</v>
      </c>
      <c r="D25" s="29" t="n">
        <v>30</v>
      </c>
      <c r="E25" s="29" t="n">
        <v>30</v>
      </c>
      <c r="F25" s="29" t="n">
        <v>30</v>
      </c>
      <c r="G25" s="29" t="n">
        <v>30</v>
      </c>
      <c r="H25" s="29" t="n">
        <v>30</v>
      </c>
      <c r="I25" s="21" t="n">
        <f aca="false">SUM(D25:H25)</f>
        <v>150</v>
      </c>
      <c r="K25" s="25"/>
      <c r="L25" s="30"/>
      <c r="M25" s="24" t="s">
        <v>49</v>
      </c>
      <c r="N25" s="31" t="e">
        <f aca="false">D25*N$12</f>
        <v>#VALUE!</v>
      </c>
      <c r="O25" s="31" t="e">
        <f aca="false">E25*O$12</f>
        <v>#VALUE!</v>
      </c>
      <c r="P25" s="31" t="e">
        <f aca="false">F25*P$12</f>
        <v>#VALUE!</v>
      </c>
      <c r="Q25" s="31" t="e">
        <f aca="false">G25*Q$12</f>
        <v>#VALUE!</v>
      </c>
      <c r="R25" s="31" t="e">
        <f aca="false">H25*R$12</f>
        <v>#VALUE!</v>
      </c>
      <c r="S25" s="31" t="e">
        <f aca="false">SUM(N25:R25)</f>
        <v>#VALUE!</v>
      </c>
    </row>
    <row r="26" customFormat="false" ht="14.25" hidden="false" customHeight="false" outlineLevel="0" collapsed="false">
      <c r="A26" s="21" t="s">
        <v>50</v>
      </c>
      <c r="B26" s="21"/>
      <c r="C26" s="21"/>
      <c r="D26" s="21" t="n">
        <f aca="false">SUM(D17:D25)</f>
        <v>180</v>
      </c>
      <c r="E26" s="21" t="n">
        <f aca="false">SUM(E17:E25)</f>
        <v>180</v>
      </c>
      <c r="F26" s="21" t="n">
        <f aca="false">SUM(F17:F25)</f>
        <v>180</v>
      </c>
      <c r="G26" s="21" t="n">
        <f aca="false">SUM(G17:G25)</f>
        <v>180</v>
      </c>
      <c r="H26" s="21" t="n">
        <f aca="false">SUM(H17:H25)</f>
        <v>180</v>
      </c>
      <c r="I26" s="32" t="n">
        <f aca="false">SUM(I17:I25)</f>
        <v>900</v>
      </c>
      <c r="K26" s="24" t="s">
        <v>50</v>
      </c>
      <c r="L26" s="24"/>
      <c r="M26" s="24"/>
      <c r="N26" s="31" t="e">
        <f aca="false">SUM(N17:N25)</f>
        <v>#VALUE!</v>
      </c>
      <c r="O26" s="31" t="e">
        <f aca="false">SUM(O17:O25)</f>
        <v>#VALUE!</v>
      </c>
      <c r="P26" s="31" t="e">
        <f aca="false">SUM(P17:P25)</f>
        <v>#VALUE!</v>
      </c>
      <c r="Q26" s="31" t="e">
        <f aca="false">SUM(Q17:Q25)</f>
        <v>#VALUE!</v>
      </c>
      <c r="R26" s="31" t="e">
        <f aca="false">SUM(R17:R25)</f>
        <v>#VALUE!</v>
      </c>
      <c r="S26" s="33" t="e">
        <f aca="false">SUM(S17:S25)</f>
        <v>#VALUE!</v>
      </c>
    </row>
    <row r="27" customFormat="false" ht="14.25" hidden="false" customHeight="true" outlineLevel="0" collapsed="false">
      <c r="A27" s="27" t="s">
        <v>51</v>
      </c>
      <c r="B27" s="28" t="s">
        <v>38</v>
      </c>
      <c r="C27" s="21" t="s">
        <v>39</v>
      </c>
      <c r="D27" s="29" t="n">
        <v>10</v>
      </c>
      <c r="E27" s="29" t="n">
        <v>10</v>
      </c>
      <c r="F27" s="29" t="n">
        <v>10</v>
      </c>
      <c r="G27" s="29" t="n">
        <v>10</v>
      </c>
      <c r="H27" s="29" t="n">
        <v>10</v>
      </c>
      <c r="I27" s="21" t="n">
        <f aca="false">SUM(D27:H27)</f>
        <v>50</v>
      </c>
      <c r="K27" s="25" t="s">
        <v>51</v>
      </c>
      <c r="L27" s="30" t="s">
        <v>38</v>
      </c>
      <c r="M27" s="24" t="s">
        <v>39</v>
      </c>
      <c r="N27" s="31" t="e">
        <f aca="false">D27*N$12</f>
        <v>#VALUE!</v>
      </c>
      <c r="O27" s="31" t="e">
        <f aca="false">E27*O$12</f>
        <v>#VALUE!</v>
      </c>
      <c r="P27" s="31" t="e">
        <f aca="false">F27*P$12</f>
        <v>#VALUE!</v>
      </c>
      <c r="Q27" s="31" t="e">
        <f aca="false">G27*Q$12</f>
        <v>#VALUE!</v>
      </c>
      <c r="R27" s="31" t="e">
        <f aca="false">H27*R$12</f>
        <v>#VALUE!</v>
      </c>
      <c r="S27" s="31" t="e">
        <f aca="false">SUM(N27:R27)</f>
        <v>#VALUE!</v>
      </c>
    </row>
    <row r="28" customFormat="false" ht="14.25" hidden="false" customHeight="false" outlineLevel="0" collapsed="false">
      <c r="A28" s="27"/>
      <c r="B28" s="28"/>
      <c r="C28" s="21" t="s">
        <v>40</v>
      </c>
      <c r="D28" s="29" t="n">
        <v>20</v>
      </c>
      <c r="E28" s="29" t="n">
        <v>20</v>
      </c>
      <c r="F28" s="29" t="n">
        <v>20</v>
      </c>
      <c r="G28" s="29" t="n">
        <v>20</v>
      </c>
      <c r="H28" s="29" t="n">
        <v>20</v>
      </c>
      <c r="I28" s="21" t="n">
        <f aca="false">SUM(D28:H28)</f>
        <v>100</v>
      </c>
      <c r="K28" s="25"/>
      <c r="L28" s="30"/>
      <c r="M28" s="24" t="s">
        <v>40</v>
      </c>
      <c r="N28" s="31" t="e">
        <f aca="false">D28*N$12</f>
        <v>#VALUE!</v>
      </c>
      <c r="O28" s="31" t="e">
        <f aca="false">E28*O$12</f>
        <v>#VALUE!</v>
      </c>
      <c r="P28" s="31" t="e">
        <f aca="false">F28*P$12</f>
        <v>#VALUE!</v>
      </c>
      <c r="Q28" s="31" t="e">
        <f aca="false">G28*Q$12</f>
        <v>#VALUE!</v>
      </c>
      <c r="R28" s="31" t="e">
        <f aca="false">H28*R$12</f>
        <v>#VALUE!</v>
      </c>
      <c r="S28" s="31" t="e">
        <f aca="false">SUM(N28:R28)</f>
        <v>#VALUE!</v>
      </c>
    </row>
    <row r="29" customFormat="false" ht="14.25" hidden="false" customHeight="false" outlineLevel="0" collapsed="false">
      <c r="A29" s="27"/>
      <c r="B29" s="28"/>
      <c r="C29" s="21" t="s">
        <v>41</v>
      </c>
      <c r="D29" s="29" t="n">
        <v>30</v>
      </c>
      <c r="E29" s="29" t="n">
        <v>30</v>
      </c>
      <c r="F29" s="29" t="n">
        <v>30</v>
      </c>
      <c r="G29" s="29" t="n">
        <v>30</v>
      </c>
      <c r="H29" s="29" t="n">
        <v>30</v>
      </c>
      <c r="I29" s="21" t="n">
        <f aca="false">SUM(D29:H29)</f>
        <v>150</v>
      </c>
      <c r="K29" s="25"/>
      <c r="L29" s="30"/>
      <c r="M29" s="24" t="s">
        <v>41</v>
      </c>
      <c r="N29" s="31" t="e">
        <f aca="false">D29*N$12</f>
        <v>#VALUE!</v>
      </c>
      <c r="O29" s="31" t="e">
        <f aca="false">E29*O$12</f>
        <v>#VALUE!</v>
      </c>
      <c r="P29" s="31" t="e">
        <f aca="false">F29*P$12</f>
        <v>#VALUE!</v>
      </c>
      <c r="Q29" s="31" t="e">
        <f aca="false">G29*Q$12</f>
        <v>#VALUE!</v>
      </c>
      <c r="R29" s="31" t="e">
        <f aca="false">H29*R$12</f>
        <v>#VALUE!</v>
      </c>
      <c r="S29" s="31" t="e">
        <f aca="false">SUM(N29:R29)</f>
        <v>#VALUE!</v>
      </c>
    </row>
    <row r="30" customFormat="false" ht="14.25" hidden="false" customHeight="true" outlineLevel="0" collapsed="false">
      <c r="A30" s="27"/>
      <c r="B30" s="28" t="s">
        <v>42</v>
      </c>
      <c r="C30" s="21" t="s">
        <v>43</v>
      </c>
      <c r="D30" s="29" t="n">
        <v>10</v>
      </c>
      <c r="E30" s="29" t="n">
        <v>10</v>
      </c>
      <c r="F30" s="29" t="n">
        <v>10</v>
      </c>
      <c r="G30" s="29" t="n">
        <v>10</v>
      </c>
      <c r="H30" s="29" t="n">
        <v>10</v>
      </c>
      <c r="I30" s="21" t="n">
        <f aca="false">SUM(D30:H30)</f>
        <v>50</v>
      </c>
      <c r="K30" s="25"/>
      <c r="L30" s="30" t="s">
        <v>42</v>
      </c>
      <c r="M30" s="24" t="s">
        <v>43</v>
      </c>
      <c r="N30" s="31" t="e">
        <f aca="false">D30*N$12</f>
        <v>#VALUE!</v>
      </c>
      <c r="O30" s="31" t="e">
        <f aca="false">E30*O$12</f>
        <v>#VALUE!</v>
      </c>
      <c r="P30" s="31" t="e">
        <f aca="false">F30*P$12</f>
        <v>#VALUE!</v>
      </c>
      <c r="Q30" s="31" t="e">
        <f aca="false">G30*Q$12</f>
        <v>#VALUE!</v>
      </c>
      <c r="R30" s="31" t="e">
        <f aca="false">H30*R$12</f>
        <v>#VALUE!</v>
      </c>
      <c r="S30" s="31" t="e">
        <f aca="false">SUM(N30:R30)</f>
        <v>#VALUE!</v>
      </c>
    </row>
    <row r="31" customFormat="false" ht="14.25" hidden="false" customHeight="false" outlineLevel="0" collapsed="false">
      <c r="A31" s="27"/>
      <c r="B31" s="28"/>
      <c r="C31" s="21" t="s">
        <v>44</v>
      </c>
      <c r="D31" s="29" t="n">
        <v>20</v>
      </c>
      <c r="E31" s="29" t="n">
        <v>20</v>
      </c>
      <c r="F31" s="29" t="n">
        <v>20</v>
      </c>
      <c r="G31" s="29" t="n">
        <v>20</v>
      </c>
      <c r="H31" s="29" t="n">
        <v>20</v>
      </c>
      <c r="I31" s="21" t="n">
        <f aca="false">SUM(D31:H31)</f>
        <v>100</v>
      </c>
      <c r="K31" s="25"/>
      <c r="L31" s="30"/>
      <c r="M31" s="24" t="s">
        <v>44</v>
      </c>
      <c r="N31" s="31" t="e">
        <f aca="false">D31*N$12</f>
        <v>#VALUE!</v>
      </c>
      <c r="O31" s="31" t="e">
        <f aca="false">E31*O$12</f>
        <v>#VALUE!</v>
      </c>
      <c r="P31" s="31" t="e">
        <f aca="false">F31*P$12</f>
        <v>#VALUE!</v>
      </c>
      <c r="Q31" s="31" t="e">
        <f aca="false">G31*Q$12</f>
        <v>#VALUE!</v>
      </c>
      <c r="R31" s="31" t="e">
        <f aca="false">H31*R$12</f>
        <v>#VALUE!</v>
      </c>
      <c r="S31" s="31" t="e">
        <f aca="false">SUM(N31:R31)</f>
        <v>#VALUE!</v>
      </c>
    </row>
    <row r="32" customFormat="false" ht="14.25" hidden="false" customHeight="false" outlineLevel="0" collapsed="false">
      <c r="A32" s="27"/>
      <c r="B32" s="28"/>
      <c r="C32" s="21" t="s">
        <v>45</v>
      </c>
      <c r="D32" s="29" t="n">
        <v>30</v>
      </c>
      <c r="E32" s="29" t="n">
        <v>30</v>
      </c>
      <c r="F32" s="29" t="n">
        <v>30</v>
      </c>
      <c r="G32" s="29" t="n">
        <v>30</v>
      </c>
      <c r="H32" s="29" t="n">
        <v>30</v>
      </c>
      <c r="I32" s="21" t="n">
        <f aca="false">SUM(D32:H32)</f>
        <v>150</v>
      </c>
      <c r="K32" s="25"/>
      <c r="L32" s="30"/>
      <c r="M32" s="24" t="s">
        <v>45</v>
      </c>
      <c r="N32" s="31" t="e">
        <f aca="false">D32*N$12</f>
        <v>#VALUE!</v>
      </c>
      <c r="O32" s="31" t="e">
        <f aca="false">E32*O$12</f>
        <v>#VALUE!</v>
      </c>
      <c r="P32" s="31" t="e">
        <f aca="false">F32*P$12</f>
        <v>#VALUE!</v>
      </c>
      <c r="Q32" s="31" t="e">
        <f aca="false">G32*Q$12</f>
        <v>#VALUE!</v>
      </c>
      <c r="R32" s="31" t="e">
        <f aca="false">H32*R$12</f>
        <v>#VALUE!</v>
      </c>
      <c r="S32" s="31" t="e">
        <f aca="false">SUM(N32:R32)</f>
        <v>#VALUE!</v>
      </c>
    </row>
    <row r="33" customFormat="false" ht="14.25" hidden="false" customHeight="true" outlineLevel="0" collapsed="false">
      <c r="A33" s="27"/>
      <c r="B33" s="28" t="s">
        <v>46</v>
      </c>
      <c r="C33" s="21" t="s">
        <v>47</v>
      </c>
      <c r="D33" s="29" t="n">
        <v>10</v>
      </c>
      <c r="E33" s="29" t="n">
        <v>10</v>
      </c>
      <c r="F33" s="29" t="n">
        <v>10</v>
      </c>
      <c r="G33" s="29" t="n">
        <v>10</v>
      </c>
      <c r="H33" s="29" t="n">
        <v>10</v>
      </c>
      <c r="I33" s="21" t="n">
        <f aca="false">SUM(D33:H33)</f>
        <v>50</v>
      </c>
      <c r="K33" s="25"/>
      <c r="L33" s="30" t="s">
        <v>46</v>
      </c>
      <c r="M33" s="24" t="s">
        <v>47</v>
      </c>
      <c r="N33" s="31" t="e">
        <f aca="false">D33*N$12</f>
        <v>#VALUE!</v>
      </c>
      <c r="O33" s="31" t="e">
        <f aca="false">E33*O$12</f>
        <v>#VALUE!</v>
      </c>
      <c r="P33" s="31" t="e">
        <f aca="false">F33*P$12</f>
        <v>#VALUE!</v>
      </c>
      <c r="Q33" s="31" t="e">
        <f aca="false">G33*Q$12</f>
        <v>#VALUE!</v>
      </c>
      <c r="R33" s="31" t="e">
        <f aca="false">H33*R$12</f>
        <v>#VALUE!</v>
      </c>
      <c r="S33" s="31" t="e">
        <f aca="false">SUM(N33:R33)</f>
        <v>#VALUE!</v>
      </c>
    </row>
    <row r="34" customFormat="false" ht="14.25" hidden="false" customHeight="false" outlineLevel="0" collapsed="false">
      <c r="A34" s="27"/>
      <c r="B34" s="28"/>
      <c r="C34" s="21" t="s">
        <v>48</v>
      </c>
      <c r="D34" s="29" t="n">
        <v>20</v>
      </c>
      <c r="E34" s="29" t="n">
        <v>20</v>
      </c>
      <c r="F34" s="29" t="n">
        <v>20</v>
      </c>
      <c r="G34" s="29" t="n">
        <v>20</v>
      </c>
      <c r="H34" s="29" t="n">
        <v>20</v>
      </c>
      <c r="I34" s="21" t="n">
        <f aca="false">SUM(D34:H34)</f>
        <v>100</v>
      </c>
      <c r="K34" s="25"/>
      <c r="L34" s="30"/>
      <c r="M34" s="24" t="s">
        <v>48</v>
      </c>
      <c r="N34" s="31" t="e">
        <f aca="false">D34*N$12</f>
        <v>#VALUE!</v>
      </c>
      <c r="O34" s="31" t="e">
        <f aca="false">E34*O$12</f>
        <v>#VALUE!</v>
      </c>
      <c r="P34" s="31" t="e">
        <f aca="false">F34*P$12</f>
        <v>#VALUE!</v>
      </c>
      <c r="Q34" s="31" t="e">
        <f aca="false">G34*Q$12</f>
        <v>#VALUE!</v>
      </c>
      <c r="R34" s="31" t="e">
        <f aca="false">H34*R$12</f>
        <v>#VALUE!</v>
      </c>
      <c r="S34" s="31" t="e">
        <f aca="false">SUM(N34:R34)</f>
        <v>#VALUE!</v>
      </c>
    </row>
    <row r="35" customFormat="false" ht="14.25" hidden="false" customHeight="false" outlineLevel="0" collapsed="false">
      <c r="A35" s="27"/>
      <c r="B35" s="28"/>
      <c r="C35" s="21" t="s">
        <v>49</v>
      </c>
      <c r="D35" s="29" t="n">
        <v>30</v>
      </c>
      <c r="E35" s="29" t="n">
        <v>30</v>
      </c>
      <c r="F35" s="29" t="n">
        <v>30</v>
      </c>
      <c r="G35" s="29" t="n">
        <v>30</v>
      </c>
      <c r="H35" s="29" t="n">
        <v>30</v>
      </c>
      <c r="I35" s="21" t="n">
        <f aca="false">SUM(D35:H35)</f>
        <v>150</v>
      </c>
      <c r="K35" s="25"/>
      <c r="L35" s="30"/>
      <c r="M35" s="24" t="s">
        <v>49</v>
      </c>
      <c r="N35" s="31" t="e">
        <f aca="false">D35*N$12</f>
        <v>#VALUE!</v>
      </c>
      <c r="O35" s="31" t="e">
        <f aca="false">E35*O$12</f>
        <v>#VALUE!</v>
      </c>
      <c r="P35" s="31" t="e">
        <f aca="false">F35*P$12</f>
        <v>#VALUE!</v>
      </c>
      <c r="Q35" s="31" t="e">
        <f aca="false">G35*Q$12</f>
        <v>#VALUE!</v>
      </c>
      <c r="R35" s="31" t="e">
        <f aca="false">H35*R$12</f>
        <v>#VALUE!</v>
      </c>
      <c r="S35" s="31" t="e">
        <f aca="false">SUM(N35:R35)</f>
        <v>#VALUE!</v>
      </c>
    </row>
    <row r="36" customFormat="false" ht="14.25" hidden="false" customHeight="false" outlineLevel="0" collapsed="false">
      <c r="A36" s="21" t="s">
        <v>52</v>
      </c>
      <c r="B36" s="21"/>
      <c r="C36" s="21"/>
      <c r="D36" s="21" t="n">
        <f aca="false">SUM(D27:D35)</f>
        <v>180</v>
      </c>
      <c r="E36" s="21" t="n">
        <f aca="false">SUM(E27:E35)</f>
        <v>180</v>
      </c>
      <c r="F36" s="21" t="n">
        <f aca="false">SUM(F27:F35)</f>
        <v>180</v>
      </c>
      <c r="G36" s="21" t="n">
        <f aca="false">SUM(G27:G35)</f>
        <v>180</v>
      </c>
      <c r="H36" s="21" t="n">
        <f aca="false">SUM(H27:H35)</f>
        <v>180</v>
      </c>
      <c r="I36" s="32" t="n">
        <f aca="false">SUM(I27:I35)</f>
        <v>900</v>
      </c>
      <c r="K36" s="24" t="s">
        <v>52</v>
      </c>
      <c r="L36" s="24"/>
      <c r="M36" s="24"/>
      <c r="N36" s="31" t="e">
        <f aca="false">SUM(N27:N35)</f>
        <v>#VALUE!</v>
      </c>
      <c r="O36" s="31" t="e">
        <f aca="false">SUM(O27:O35)</f>
        <v>#VALUE!</v>
      </c>
      <c r="P36" s="31" t="e">
        <f aca="false">SUM(P27:P35)</f>
        <v>#VALUE!</v>
      </c>
      <c r="Q36" s="31" t="e">
        <f aca="false">SUM(Q27:Q35)</f>
        <v>#VALUE!</v>
      </c>
      <c r="R36" s="31" t="e">
        <f aca="false">SUM(R27:R35)</f>
        <v>#VALUE!</v>
      </c>
      <c r="S36" s="33" t="e">
        <f aca="false">SUM(S27:S35)</f>
        <v>#VALUE!</v>
      </c>
    </row>
    <row r="37" customFormat="false" ht="14.25" hidden="false" customHeight="true" outlineLevel="0" collapsed="false">
      <c r="A37" s="27" t="s">
        <v>53</v>
      </c>
      <c r="B37" s="28" t="s">
        <v>38</v>
      </c>
      <c r="C37" s="21" t="s">
        <v>39</v>
      </c>
      <c r="D37" s="29" t="n">
        <v>10</v>
      </c>
      <c r="E37" s="29" t="n">
        <v>10</v>
      </c>
      <c r="F37" s="29" t="n">
        <v>10</v>
      </c>
      <c r="G37" s="29" t="n">
        <v>10</v>
      </c>
      <c r="H37" s="29" t="n">
        <v>10</v>
      </c>
      <c r="I37" s="21" t="n">
        <f aca="false">SUM(D37:H37)</f>
        <v>50</v>
      </c>
      <c r="K37" s="25" t="s">
        <v>53</v>
      </c>
      <c r="L37" s="30" t="s">
        <v>38</v>
      </c>
      <c r="M37" s="24" t="s">
        <v>39</v>
      </c>
      <c r="N37" s="31" t="e">
        <f aca="false">D37*N$12</f>
        <v>#VALUE!</v>
      </c>
      <c r="O37" s="31" t="e">
        <f aca="false">E37*O$12</f>
        <v>#VALUE!</v>
      </c>
      <c r="P37" s="31" t="e">
        <f aca="false">F37*P$12</f>
        <v>#VALUE!</v>
      </c>
      <c r="Q37" s="31" t="e">
        <f aca="false">G37*Q$12</f>
        <v>#VALUE!</v>
      </c>
      <c r="R37" s="31" t="e">
        <f aca="false">H37*R$12</f>
        <v>#VALUE!</v>
      </c>
      <c r="S37" s="31" t="e">
        <f aca="false">SUM(N37:R37)</f>
        <v>#VALUE!</v>
      </c>
    </row>
    <row r="38" customFormat="false" ht="14.25" hidden="false" customHeight="false" outlineLevel="0" collapsed="false">
      <c r="A38" s="27"/>
      <c r="B38" s="28"/>
      <c r="C38" s="21" t="s">
        <v>40</v>
      </c>
      <c r="D38" s="29" t="n">
        <v>20</v>
      </c>
      <c r="E38" s="29" t="n">
        <v>20</v>
      </c>
      <c r="F38" s="29" t="n">
        <v>20</v>
      </c>
      <c r="G38" s="29" t="n">
        <v>20</v>
      </c>
      <c r="H38" s="29" t="n">
        <v>20</v>
      </c>
      <c r="I38" s="21" t="n">
        <f aca="false">SUM(D38:H38)</f>
        <v>100</v>
      </c>
      <c r="K38" s="25"/>
      <c r="L38" s="30"/>
      <c r="M38" s="24" t="s">
        <v>40</v>
      </c>
      <c r="N38" s="31" t="e">
        <f aca="false">D38*N$12</f>
        <v>#VALUE!</v>
      </c>
      <c r="O38" s="31" t="e">
        <f aca="false">E38*O$12</f>
        <v>#VALUE!</v>
      </c>
      <c r="P38" s="31" t="e">
        <f aca="false">F38*P$12</f>
        <v>#VALUE!</v>
      </c>
      <c r="Q38" s="31" t="e">
        <f aca="false">G38*Q$12</f>
        <v>#VALUE!</v>
      </c>
      <c r="R38" s="31" t="e">
        <f aca="false">H38*R$12</f>
        <v>#VALUE!</v>
      </c>
      <c r="S38" s="31" t="e">
        <f aca="false">SUM(N38:R38)</f>
        <v>#VALUE!</v>
      </c>
    </row>
    <row r="39" customFormat="false" ht="14.25" hidden="false" customHeight="false" outlineLevel="0" collapsed="false">
      <c r="A39" s="27"/>
      <c r="B39" s="28"/>
      <c r="C39" s="21" t="s">
        <v>41</v>
      </c>
      <c r="D39" s="29" t="n">
        <v>30</v>
      </c>
      <c r="E39" s="29" t="n">
        <v>30</v>
      </c>
      <c r="F39" s="29" t="n">
        <v>30</v>
      </c>
      <c r="G39" s="29" t="n">
        <v>30</v>
      </c>
      <c r="H39" s="29" t="n">
        <v>30</v>
      </c>
      <c r="I39" s="21" t="n">
        <f aca="false">SUM(D39:H39)</f>
        <v>150</v>
      </c>
      <c r="K39" s="25"/>
      <c r="L39" s="30"/>
      <c r="M39" s="24" t="s">
        <v>41</v>
      </c>
      <c r="N39" s="31" t="e">
        <f aca="false">D39*N$12</f>
        <v>#VALUE!</v>
      </c>
      <c r="O39" s="31" t="e">
        <f aca="false">E39*O$12</f>
        <v>#VALUE!</v>
      </c>
      <c r="P39" s="31" t="e">
        <f aca="false">F39*P$12</f>
        <v>#VALUE!</v>
      </c>
      <c r="Q39" s="31" t="e">
        <f aca="false">G39*Q$12</f>
        <v>#VALUE!</v>
      </c>
      <c r="R39" s="31" t="e">
        <f aca="false">H39*R$12</f>
        <v>#VALUE!</v>
      </c>
      <c r="S39" s="31" t="e">
        <f aca="false">SUM(N39:R39)</f>
        <v>#VALUE!</v>
      </c>
    </row>
    <row r="40" customFormat="false" ht="14.25" hidden="false" customHeight="true" outlineLevel="0" collapsed="false">
      <c r="A40" s="27"/>
      <c r="B40" s="28" t="s">
        <v>42</v>
      </c>
      <c r="C40" s="21" t="s">
        <v>43</v>
      </c>
      <c r="D40" s="29" t="n">
        <v>10</v>
      </c>
      <c r="E40" s="29" t="n">
        <v>10</v>
      </c>
      <c r="F40" s="29" t="n">
        <v>10</v>
      </c>
      <c r="G40" s="29" t="n">
        <v>10</v>
      </c>
      <c r="H40" s="29" t="n">
        <v>10</v>
      </c>
      <c r="I40" s="21" t="n">
        <f aca="false">SUM(D40:H40)</f>
        <v>50</v>
      </c>
      <c r="K40" s="25"/>
      <c r="L40" s="30" t="s">
        <v>42</v>
      </c>
      <c r="M40" s="24" t="s">
        <v>43</v>
      </c>
      <c r="N40" s="31" t="e">
        <f aca="false">D40*N$12</f>
        <v>#VALUE!</v>
      </c>
      <c r="O40" s="31" t="e">
        <f aca="false">E40*O$12</f>
        <v>#VALUE!</v>
      </c>
      <c r="P40" s="31" t="e">
        <f aca="false">F40*P$12</f>
        <v>#VALUE!</v>
      </c>
      <c r="Q40" s="31" t="e">
        <f aca="false">G40*Q$12</f>
        <v>#VALUE!</v>
      </c>
      <c r="R40" s="31" t="e">
        <f aca="false">H40*R$12</f>
        <v>#VALUE!</v>
      </c>
      <c r="S40" s="31" t="e">
        <f aca="false">SUM(N40:R40)</f>
        <v>#VALUE!</v>
      </c>
    </row>
    <row r="41" customFormat="false" ht="14.25" hidden="false" customHeight="false" outlineLevel="0" collapsed="false">
      <c r="A41" s="27"/>
      <c r="B41" s="28"/>
      <c r="C41" s="21" t="s">
        <v>44</v>
      </c>
      <c r="D41" s="29" t="n">
        <v>20</v>
      </c>
      <c r="E41" s="29" t="n">
        <v>20</v>
      </c>
      <c r="F41" s="29" t="n">
        <v>20</v>
      </c>
      <c r="G41" s="29" t="n">
        <v>20</v>
      </c>
      <c r="H41" s="29" t="n">
        <v>20</v>
      </c>
      <c r="I41" s="21" t="n">
        <f aca="false">SUM(D41:H41)</f>
        <v>100</v>
      </c>
      <c r="K41" s="25"/>
      <c r="L41" s="30"/>
      <c r="M41" s="24" t="s">
        <v>44</v>
      </c>
      <c r="N41" s="31" t="e">
        <f aca="false">D41*N$12</f>
        <v>#VALUE!</v>
      </c>
      <c r="O41" s="31" t="e">
        <f aca="false">E41*O$12</f>
        <v>#VALUE!</v>
      </c>
      <c r="P41" s="31" t="e">
        <f aca="false">F41*P$12</f>
        <v>#VALUE!</v>
      </c>
      <c r="Q41" s="31" t="e">
        <f aca="false">G41*Q$12</f>
        <v>#VALUE!</v>
      </c>
      <c r="R41" s="31" t="e">
        <f aca="false">H41*R$12</f>
        <v>#VALUE!</v>
      </c>
      <c r="S41" s="31" t="e">
        <f aca="false">SUM(N41:R41)</f>
        <v>#VALUE!</v>
      </c>
    </row>
    <row r="42" customFormat="false" ht="14.25" hidden="false" customHeight="false" outlineLevel="0" collapsed="false">
      <c r="A42" s="27"/>
      <c r="B42" s="28"/>
      <c r="C42" s="21" t="s">
        <v>45</v>
      </c>
      <c r="D42" s="29" t="n">
        <v>30</v>
      </c>
      <c r="E42" s="29" t="n">
        <v>30</v>
      </c>
      <c r="F42" s="29" t="n">
        <v>30</v>
      </c>
      <c r="G42" s="29" t="n">
        <v>30</v>
      </c>
      <c r="H42" s="29" t="n">
        <v>30</v>
      </c>
      <c r="I42" s="21" t="n">
        <f aca="false">SUM(D42:H42)</f>
        <v>150</v>
      </c>
      <c r="K42" s="25"/>
      <c r="L42" s="30"/>
      <c r="M42" s="24" t="s">
        <v>45</v>
      </c>
      <c r="N42" s="31" t="e">
        <f aca="false">D42*N$12</f>
        <v>#VALUE!</v>
      </c>
      <c r="O42" s="31" t="e">
        <f aca="false">E42*O$12</f>
        <v>#VALUE!</v>
      </c>
      <c r="P42" s="31" t="e">
        <f aca="false">F42*P$12</f>
        <v>#VALUE!</v>
      </c>
      <c r="Q42" s="31" t="e">
        <f aca="false">G42*Q$12</f>
        <v>#VALUE!</v>
      </c>
      <c r="R42" s="31" t="e">
        <f aca="false">H42*R$12</f>
        <v>#VALUE!</v>
      </c>
      <c r="S42" s="31" t="e">
        <f aca="false">SUM(N42:R42)</f>
        <v>#VALUE!</v>
      </c>
    </row>
    <row r="43" customFormat="false" ht="14.25" hidden="false" customHeight="true" outlineLevel="0" collapsed="false">
      <c r="A43" s="27"/>
      <c r="B43" s="28" t="s">
        <v>46</v>
      </c>
      <c r="C43" s="21" t="s">
        <v>47</v>
      </c>
      <c r="D43" s="29" t="n">
        <v>10</v>
      </c>
      <c r="E43" s="29" t="n">
        <v>10</v>
      </c>
      <c r="F43" s="29" t="n">
        <v>10</v>
      </c>
      <c r="G43" s="29" t="n">
        <v>10</v>
      </c>
      <c r="H43" s="29" t="n">
        <v>10</v>
      </c>
      <c r="I43" s="21" t="n">
        <f aca="false">SUM(D43:H43)</f>
        <v>50</v>
      </c>
      <c r="K43" s="25"/>
      <c r="L43" s="30" t="s">
        <v>46</v>
      </c>
      <c r="M43" s="24" t="s">
        <v>47</v>
      </c>
      <c r="N43" s="31" t="e">
        <f aca="false">D43*N$12</f>
        <v>#VALUE!</v>
      </c>
      <c r="O43" s="31" t="e">
        <f aca="false">E43*O$12</f>
        <v>#VALUE!</v>
      </c>
      <c r="P43" s="31" t="e">
        <f aca="false">F43*P$12</f>
        <v>#VALUE!</v>
      </c>
      <c r="Q43" s="31" t="e">
        <f aca="false">G43*Q$12</f>
        <v>#VALUE!</v>
      </c>
      <c r="R43" s="31" t="e">
        <f aca="false">H43*R$12</f>
        <v>#VALUE!</v>
      </c>
      <c r="S43" s="31" t="e">
        <f aca="false">SUM(N43:R43)</f>
        <v>#VALUE!</v>
      </c>
    </row>
    <row r="44" customFormat="false" ht="14.25" hidden="false" customHeight="false" outlineLevel="0" collapsed="false">
      <c r="A44" s="27"/>
      <c r="B44" s="28"/>
      <c r="C44" s="21" t="s">
        <v>48</v>
      </c>
      <c r="D44" s="29" t="n">
        <v>20</v>
      </c>
      <c r="E44" s="29" t="n">
        <v>20</v>
      </c>
      <c r="F44" s="29" t="n">
        <v>20</v>
      </c>
      <c r="G44" s="29" t="n">
        <v>20</v>
      </c>
      <c r="H44" s="29" t="n">
        <v>20</v>
      </c>
      <c r="I44" s="21" t="n">
        <f aca="false">SUM(D44:H44)</f>
        <v>100</v>
      </c>
      <c r="K44" s="25"/>
      <c r="L44" s="30"/>
      <c r="M44" s="24" t="s">
        <v>48</v>
      </c>
      <c r="N44" s="31" t="e">
        <f aca="false">D44*N$12</f>
        <v>#VALUE!</v>
      </c>
      <c r="O44" s="31" t="e">
        <f aca="false">E44*O$12</f>
        <v>#VALUE!</v>
      </c>
      <c r="P44" s="31" t="e">
        <f aca="false">F44*P$12</f>
        <v>#VALUE!</v>
      </c>
      <c r="Q44" s="31" t="e">
        <f aca="false">G44*Q$12</f>
        <v>#VALUE!</v>
      </c>
      <c r="R44" s="31" t="e">
        <f aca="false">H44*R$12</f>
        <v>#VALUE!</v>
      </c>
      <c r="S44" s="31" t="e">
        <f aca="false">SUM(N44:R44)</f>
        <v>#VALUE!</v>
      </c>
    </row>
    <row r="45" customFormat="false" ht="14.25" hidden="false" customHeight="false" outlineLevel="0" collapsed="false">
      <c r="A45" s="27"/>
      <c r="B45" s="28"/>
      <c r="C45" s="21" t="s">
        <v>49</v>
      </c>
      <c r="D45" s="29" t="n">
        <v>30</v>
      </c>
      <c r="E45" s="29" t="n">
        <v>30</v>
      </c>
      <c r="F45" s="29" t="n">
        <v>30</v>
      </c>
      <c r="G45" s="29" t="n">
        <v>30</v>
      </c>
      <c r="H45" s="29" t="n">
        <v>30</v>
      </c>
      <c r="I45" s="21" t="n">
        <f aca="false">SUM(D45:H45)</f>
        <v>150</v>
      </c>
      <c r="K45" s="25"/>
      <c r="L45" s="30"/>
      <c r="M45" s="24" t="s">
        <v>49</v>
      </c>
      <c r="N45" s="31" t="e">
        <f aca="false">D45*N$12</f>
        <v>#VALUE!</v>
      </c>
      <c r="O45" s="31" t="e">
        <f aca="false">E45*O$12</f>
        <v>#VALUE!</v>
      </c>
      <c r="P45" s="31" t="e">
        <f aca="false">F45*P$12</f>
        <v>#VALUE!</v>
      </c>
      <c r="Q45" s="31" t="e">
        <f aca="false">G45*Q$12</f>
        <v>#VALUE!</v>
      </c>
      <c r="R45" s="31" t="e">
        <f aca="false">H45*R$12</f>
        <v>#VALUE!</v>
      </c>
      <c r="S45" s="31" t="e">
        <f aca="false">SUM(N45:R45)</f>
        <v>#VALUE!</v>
      </c>
    </row>
    <row r="46" customFormat="false" ht="14.25" hidden="false" customHeight="false" outlineLevel="0" collapsed="false">
      <c r="A46" s="21" t="s">
        <v>54</v>
      </c>
      <c r="B46" s="21"/>
      <c r="C46" s="21"/>
      <c r="D46" s="21" t="n">
        <f aca="false">SUM(D37:D45)</f>
        <v>180</v>
      </c>
      <c r="E46" s="21" t="n">
        <f aca="false">SUM(E37:E45)</f>
        <v>180</v>
      </c>
      <c r="F46" s="21" t="n">
        <f aca="false">SUM(F37:F45)</f>
        <v>180</v>
      </c>
      <c r="G46" s="21" t="n">
        <f aca="false">SUM(G37:G45)</f>
        <v>180</v>
      </c>
      <c r="H46" s="21" t="n">
        <f aca="false">SUM(H37:H45)</f>
        <v>180</v>
      </c>
      <c r="I46" s="32" t="n">
        <f aca="false">SUM(I37:I45)</f>
        <v>900</v>
      </c>
      <c r="K46" s="24" t="s">
        <v>54</v>
      </c>
      <c r="L46" s="24"/>
      <c r="M46" s="24"/>
      <c r="N46" s="31" t="e">
        <f aca="false">SUM(N37:N45)</f>
        <v>#VALUE!</v>
      </c>
      <c r="O46" s="31" t="e">
        <f aca="false">SUM(O37:O45)</f>
        <v>#VALUE!</v>
      </c>
      <c r="P46" s="31" t="e">
        <f aca="false">SUM(P37:P45)</f>
        <v>#VALUE!</v>
      </c>
      <c r="Q46" s="31" t="e">
        <f aca="false">SUM(Q37:Q45)</f>
        <v>#VALUE!</v>
      </c>
      <c r="R46" s="31" t="e">
        <f aca="false">SUM(R37:R45)</f>
        <v>#VALUE!</v>
      </c>
      <c r="S46" s="33" t="e">
        <f aca="false">SUM(S37:S45)</f>
        <v>#VALUE!</v>
      </c>
    </row>
    <row r="47" customFormat="false" ht="19.7" hidden="false" customHeight="false" outlineLevel="0" collapsed="false">
      <c r="A47" s="32" t="s">
        <v>55</v>
      </c>
      <c r="B47" s="32"/>
      <c r="C47" s="32"/>
      <c r="D47" s="34" t="n">
        <f aca="false">D26+D36+D46</f>
        <v>540</v>
      </c>
      <c r="E47" s="34" t="n">
        <f aca="false">E26+E36+E46</f>
        <v>540</v>
      </c>
      <c r="F47" s="34" t="n">
        <f aca="false">F26+F36+F46</f>
        <v>540</v>
      </c>
      <c r="G47" s="34" t="n">
        <f aca="false">G26+G36+G46</f>
        <v>540</v>
      </c>
      <c r="H47" s="34" t="n">
        <f aca="false">H26+H36+H46</f>
        <v>540</v>
      </c>
      <c r="I47" s="35" t="n">
        <f aca="false">I26+I36+I46</f>
        <v>2700</v>
      </c>
      <c r="K47" s="23" t="s">
        <v>36</v>
      </c>
      <c r="L47" s="23"/>
      <c r="M47" s="23"/>
      <c r="N47" s="36" t="e">
        <f aca="false">N26+N36+N46</f>
        <v>#VALUE!</v>
      </c>
      <c r="O47" s="36" t="e">
        <f aca="false">O26+O36+O46</f>
        <v>#VALUE!</v>
      </c>
      <c r="P47" s="36" t="e">
        <f aca="false">P26+P36+P46</f>
        <v>#VALUE!</v>
      </c>
      <c r="Q47" s="36" t="e">
        <f aca="false">Q26+Q36+Q46</f>
        <v>#VALUE!</v>
      </c>
      <c r="R47" s="36" t="e">
        <f aca="false">R26+R36+R46</f>
        <v>#VALUE!</v>
      </c>
      <c r="S47" s="37" t="e">
        <f aca="false">S26+S36+S46</f>
        <v>#VALUE!</v>
      </c>
    </row>
  </sheetData>
  <mergeCells count="28">
    <mergeCell ref="D1:H1"/>
    <mergeCell ref="N1:R1"/>
    <mergeCell ref="D15:I15"/>
    <mergeCell ref="N15:S15"/>
    <mergeCell ref="A17:A25"/>
    <mergeCell ref="B17:B19"/>
    <mergeCell ref="K17:K25"/>
    <mergeCell ref="L17:L19"/>
    <mergeCell ref="B20:B22"/>
    <mergeCell ref="L20:L22"/>
    <mergeCell ref="B23:B25"/>
    <mergeCell ref="L23:L25"/>
    <mergeCell ref="A27:A35"/>
    <mergeCell ref="B27:B29"/>
    <mergeCell ref="K27:K35"/>
    <mergeCell ref="L27:L29"/>
    <mergeCell ref="B30:B32"/>
    <mergeCell ref="L30:L32"/>
    <mergeCell ref="B33:B35"/>
    <mergeCell ref="L33:L35"/>
    <mergeCell ref="A37:A45"/>
    <mergeCell ref="B37:B39"/>
    <mergeCell ref="K37:K45"/>
    <mergeCell ref="L37:L39"/>
    <mergeCell ref="B40:B42"/>
    <mergeCell ref="L40:L42"/>
    <mergeCell ref="B43:B45"/>
    <mergeCell ref="L43:L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9" activeCellId="0" sqref="B9"/>
    </sheetView>
  </sheetViews>
  <sheetFormatPr defaultColWidth="8.63671875" defaultRowHeight="14.25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48.45"/>
    <col collapsed="false" customWidth="true" hidden="false" outlineLevel="0" max="5" min="5" style="1" width="52.18"/>
    <col collapsed="false" customWidth="true" hidden="false" outlineLevel="0" max="6" min="6" style="1" width="14.45"/>
    <col collapsed="false" customWidth="true" hidden="false" outlineLevel="0" max="7" min="7" style="1" width="21.82"/>
    <col collapsed="false" customWidth="true" hidden="false" outlineLevel="0" max="8" min="8" style="1" width="16.73"/>
    <col collapsed="false" customWidth="true" hidden="false" outlineLevel="0" max="9" min="9" style="1" width="17.45"/>
    <col collapsed="false" customWidth="true" hidden="false" outlineLevel="0" max="18" min="10" style="1" width="9.27"/>
    <col collapsed="false" customWidth="true" hidden="false" outlineLevel="0" max="19" min="19" style="1" width="10.27"/>
  </cols>
  <sheetData>
    <row r="1" customFormat="false" ht="14.25" hidden="false" customHeight="false" outlineLevel="0" collapsed="false">
      <c r="A1" s="38" t="s">
        <v>56</v>
      </c>
      <c r="B1" s="39" t="s">
        <v>57</v>
      </c>
      <c r="F1" s="40" t="s">
        <v>58</v>
      </c>
    </row>
    <row r="2" customFormat="false" ht="14.25" hidden="false" customHeight="false" outlineLevel="0" collapsed="false">
      <c r="A2" s="38"/>
      <c r="B2" s="41" t="s">
        <v>4</v>
      </c>
      <c r="E2" s="40" t="s">
        <v>59</v>
      </c>
      <c r="F2" s="40" t="s">
        <v>56</v>
      </c>
      <c r="G2" s="40" t="s">
        <v>60</v>
      </c>
    </row>
    <row r="3" customFormat="false" ht="14.25" hidden="false" customHeight="false" outlineLevel="0" collapsed="false">
      <c r="A3" s="38"/>
      <c r="B3" s="41" t="s">
        <v>5</v>
      </c>
      <c r="E3" s="40" t="s">
        <v>61</v>
      </c>
      <c r="F3" s="40" t="s">
        <v>62</v>
      </c>
      <c r="G3" s="40" t="s">
        <v>63</v>
      </c>
      <c r="I3" s="40" t="s">
        <v>64</v>
      </c>
      <c r="J3" s="40" t="s">
        <v>65</v>
      </c>
      <c r="K3" s="40" t="s">
        <v>66</v>
      </c>
    </row>
    <row r="4" customFormat="false" ht="14.25" hidden="false" customHeight="false" outlineLevel="0" collapsed="false">
      <c r="A4" s="38"/>
      <c r="B4" s="41" t="s">
        <v>6</v>
      </c>
      <c r="F4" s="40" t="s">
        <v>67</v>
      </c>
      <c r="G4" s="40" t="s">
        <v>68</v>
      </c>
      <c r="I4" s="40" t="s">
        <v>64</v>
      </c>
    </row>
    <row r="5" customFormat="false" ht="14.25" hidden="false" customHeight="false" outlineLevel="0" collapsed="false">
      <c r="A5" s="38"/>
      <c r="B5" s="41" t="s">
        <v>7</v>
      </c>
      <c r="F5" s="40" t="s">
        <v>69</v>
      </c>
      <c r="G5" s="40" t="s">
        <v>70</v>
      </c>
      <c r="I5" s="40" t="s">
        <v>64</v>
      </c>
    </row>
    <row r="6" customFormat="false" ht="14.25" hidden="false" customHeight="false" outlineLevel="0" collapsed="false">
      <c r="A6" s="38"/>
      <c r="B6" s="41"/>
      <c r="F6" s="40" t="s">
        <v>71</v>
      </c>
      <c r="G6" s="40" t="s">
        <v>72</v>
      </c>
    </row>
    <row r="7" customFormat="false" ht="14.25" hidden="false" customHeight="false" outlineLevel="0" collapsed="false">
      <c r="A7" s="38"/>
      <c r="B7" s="41"/>
      <c r="F7" s="40" t="s">
        <v>73</v>
      </c>
      <c r="G7" s="40" t="s">
        <v>74</v>
      </c>
    </row>
    <row r="8" customFormat="false" ht="14.25" hidden="false" customHeight="false" outlineLevel="0" collapsed="false">
      <c r="A8" s="42"/>
      <c r="F8" s="40" t="s">
        <v>75</v>
      </c>
      <c r="G8" s="40" t="s">
        <v>76</v>
      </c>
    </row>
    <row r="9" customFormat="false" ht="14.25" hidden="false" customHeight="false" outlineLevel="0" collapsed="false">
      <c r="A9" s="38" t="s">
        <v>62</v>
      </c>
      <c r="B9" s="39" t="s">
        <v>77</v>
      </c>
      <c r="E9" s="40" t="s">
        <v>78</v>
      </c>
      <c r="F9" s="40" t="s">
        <v>79</v>
      </c>
      <c r="G9" s="40" t="s">
        <v>80</v>
      </c>
      <c r="H9" s="40" t="s">
        <v>81</v>
      </c>
    </row>
    <row r="10" customFormat="false" ht="14.25" hidden="false" customHeight="false" outlineLevel="0" collapsed="false">
      <c r="A10" s="38"/>
      <c r="B10" s="41" t="s">
        <v>9</v>
      </c>
      <c r="F10" s="40" t="s">
        <v>82</v>
      </c>
      <c r="G10" s="40" t="s">
        <v>83</v>
      </c>
    </row>
    <row r="11" customFormat="false" ht="14.25" hidden="false" customHeight="false" outlineLevel="0" collapsed="false">
      <c r="A11" s="38"/>
      <c r="B11" s="41" t="s">
        <v>11</v>
      </c>
      <c r="F11" s="40" t="s">
        <v>84</v>
      </c>
      <c r="G11" s="40" t="s">
        <v>85</v>
      </c>
    </row>
    <row r="12" customFormat="false" ht="14.25" hidden="false" customHeight="false" outlineLevel="0" collapsed="false">
      <c r="A12" s="38"/>
      <c r="B12" s="41" t="s">
        <v>13</v>
      </c>
      <c r="F12" s="40" t="s">
        <v>86</v>
      </c>
      <c r="G12" s="40" t="s">
        <v>87</v>
      </c>
      <c r="H12" s="43" t="s">
        <v>29</v>
      </c>
      <c r="I12" s="43" t="s">
        <v>88</v>
      </c>
      <c r="J12" s="43" t="s">
        <v>89</v>
      </c>
      <c r="K12" s="43" t="s">
        <v>90</v>
      </c>
      <c r="L12" s="43" t="s">
        <v>91</v>
      </c>
      <c r="M12" s="43" t="s">
        <v>92</v>
      </c>
      <c r="N12" s="43" t="s">
        <v>93</v>
      </c>
    </row>
    <row r="13" customFormat="false" ht="14.25" hidden="false" customHeight="false" outlineLevel="0" collapsed="false">
      <c r="A13" s="38"/>
      <c r="B13" s="41" t="s">
        <v>15</v>
      </c>
      <c r="G13" s="40" t="s">
        <v>29</v>
      </c>
    </row>
    <row r="14" customFormat="false" ht="14.25" hidden="false" customHeight="false" outlineLevel="0" collapsed="false">
      <c r="A14" s="38"/>
      <c r="B14" s="41" t="s">
        <v>17</v>
      </c>
    </row>
    <row r="15" customFormat="false" ht="14.25" hidden="false" customHeight="false" outlineLevel="0" collapsed="false">
      <c r="A15" s="38"/>
      <c r="B15" s="41" t="s">
        <v>19</v>
      </c>
      <c r="E15" s="40" t="s">
        <v>94</v>
      </c>
    </row>
    <row r="16" customFormat="false" ht="14.25" hidden="false" customHeight="false" outlineLevel="0" collapsed="false">
      <c r="A16" s="38"/>
      <c r="B16" s="41" t="s">
        <v>20</v>
      </c>
    </row>
    <row r="17" customFormat="false" ht="14.25" hidden="false" customHeight="false" outlineLevel="0" collapsed="false">
      <c r="A17" s="38"/>
      <c r="B17" s="41" t="s">
        <v>22</v>
      </c>
      <c r="I17" s="40" t="s">
        <v>95</v>
      </c>
      <c r="J17" s="40" t="s">
        <v>96</v>
      </c>
      <c r="K17" s="40" t="s">
        <v>97</v>
      </c>
      <c r="L17" s="40" t="s">
        <v>98</v>
      </c>
      <c r="M17" s="40" t="s">
        <v>99</v>
      </c>
      <c r="N17" s="40" t="s">
        <v>100</v>
      </c>
      <c r="O17" s="40" t="s">
        <v>101</v>
      </c>
      <c r="P17" s="40" t="s">
        <v>102</v>
      </c>
      <c r="Q17" s="40" t="s">
        <v>103</v>
      </c>
      <c r="R17" s="40" t="s">
        <v>104</v>
      </c>
      <c r="S17" s="40" t="s">
        <v>105</v>
      </c>
    </row>
    <row r="18" customFormat="false" ht="14.25" hidden="false" customHeight="false" outlineLevel="0" collapsed="false">
      <c r="A18" s="38"/>
      <c r="B18" s="41" t="s">
        <v>24</v>
      </c>
      <c r="H18" s="40" t="s">
        <v>106</v>
      </c>
      <c r="I18" s="1" t="n">
        <v>0</v>
      </c>
      <c r="J18" s="1" t="n">
        <v>10</v>
      </c>
      <c r="K18" s="1" t="n">
        <v>20</v>
      </c>
      <c r="L18" s="1" t="n">
        <v>30</v>
      </c>
      <c r="M18" s="1" t="n">
        <v>40</v>
      </c>
      <c r="N18" s="1" t="n">
        <v>50</v>
      </c>
      <c r="O18" s="1" t="n">
        <v>60</v>
      </c>
      <c r="P18" s="1" t="n">
        <v>70</v>
      </c>
      <c r="Q18" s="1" t="n">
        <v>80</v>
      </c>
      <c r="R18" s="1" t="n">
        <v>90</v>
      </c>
      <c r="S18" s="1" t="n">
        <v>100</v>
      </c>
    </row>
    <row r="19" customFormat="false" ht="14.25" hidden="false" customHeight="false" outlineLevel="0" collapsed="false">
      <c r="A19" s="38"/>
      <c r="B19" s="41" t="s">
        <v>25</v>
      </c>
      <c r="I19" s="40" t="s">
        <v>60</v>
      </c>
      <c r="J19" s="40" t="s">
        <v>60</v>
      </c>
      <c r="K19" s="40" t="s">
        <v>60</v>
      </c>
      <c r="L19" s="40" t="s">
        <v>60</v>
      </c>
      <c r="M19" s="40" t="s">
        <v>60</v>
      </c>
      <c r="N19" s="40" t="s">
        <v>60</v>
      </c>
      <c r="O19" s="40" t="s">
        <v>60</v>
      </c>
      <c r="P19" s="40" t="s">
        <v>60</v>
      </c>
      <c r="Q19" s="40" t="s">
        <v>60</v>
      </c>
      <c r="R19" s="40" t="s">
        <v>60</v>
      </c>
      <c r="S19" s="40" t="s">
        <v>60</v>
      </c>
    </row>
    <row r="20" customFormat="false" ht="4.5" hidden="false" customHeight="true" outlineLevel="0" collapsed="false">
      <c r="A20" s="42"/>
    </row>
    <row r="21" customFormat="false" ht="14.25" hidden="false" customHeight="false" outlineLevel="0" collapsed="false">
      <c r="A21" s="38" t="s">
        <v>67</v>
      </c>
      <c r="B21" s="39" t="s">
        <v>107</v>
      </c>
      <c r="E21" s="40" t="s">
        <v>108</v>
      </c>
      <c r="F21" s="40" t="s">
        <v>109</v>
      </c>
    </row>
    <row r="22" customFormat="false" ht="14.25" hidden="false" customHeight="false" outlineLevel="0" collapsed="false">
      <c r="A22" s="38"/>
      <c r="B22" s="41" t="s">
        <v>110</v>
      </c>
      <c r="F22" s="40" t="s">
        <v>109</v>
      </c>
    </row>
    <row r="23" customFormat="false" ht="14.25" hidden="false" customHeight="false" outlineLevel="0" collapsed="false">
      <c r="A23" s="38"/>
      <c r="B23" s="41" t="s">
        <v>111</v>
      </c>
    </row>
    <row r="24" customFormat="false" ht="14.25" hidden="false" customHeight="false" outlineLevel="0" collapsed="false">
      <c r="A24" s="44" t="s">
        <v>112</v>
      </c>
      <c r="B24" s="39" t="s">
        <v>113</v>
      </c>
    </row>
    <row r="25" customFormat="false" ht="14.25" hidden="false" customHeight="false" outlineLevel="0" collapsed="false">
      <c r="A25" s="44"/>
      <c r="B25" s="40" t="s">
        <v>29</v>
      </c>
      <c r="F25" s="40" t="s">
        <v>64</v>
      </c>
    </row>
    <row r="26" customFormat="false" ht="14.25" hidden="false" customHeight="false" outlineLevel="0" collapsed="false">
      <c r="A26" s="44"/>
      <c r="B26" s="40" t="s">
        <v>92</v>
      </c>
    </row>
    <row r="27" customFormat="false" ht="14.25" hidden="false" customHeight="false" outlineLevel="0" collapsed="false">
      <c r="A27" s="44"/>
      <c r="B27" s="40" t="s">
        <v>114</v>
      </c>
    </row>
    <row r="28" customFormat="false" ht="4.5" hidden="false" customHeight="true" outlineLevel="0" collapsed="false">
      <c r="A28" s="42"/>
    </row>
    <row r="29" customFormat="false" ht="14.25" hidden="false" customHeight="false" outlineLevel="0" collapsed="false">
      <c r="A29" s="45" t="s">
        <v>71</v>
      </c>
      <c r="B29" s="39" t="s">
        <v>115</v>
      </c>
    </row>
    <row r="30" customFormat="false" ht="4.5" hidden="false" customHeight="true" outlineLevel="0" collapsed="false">
      <c r="A30" s="42"/>
    </row>
    <row r="31" customFormat="false" ht="14.25" hidden="false" customHeight="false" outlineLevel="0" collapsed="false">
      <c r="A31" s="45" t="s">
        <v>73</v>
      </c>
      <c r="B31" s="39" t="s">
        <v>116</v>
      </c>
    </row>
    <row r="32" customFormat="false" ht="4.5" hidden="false" customHeight="true" outlineLevel="0" collapsed="false">
      <c r="A32" s="42"/>
    </row>
    <row r="33" customFormat="false" ht="14.25" hidden="false" customHeight="false" outlineLevel="0" collapsed="false">
      <c r="A33" s="38" t="s">
        <v>75</v>
      </c>
      <c r="B33" s="39" t="s">
        <v>117</v>
      </c>
    </row>
    <row r="34" customFormat="false" ht="14.25" hidden="false" customHeight="false" outlineLevel="0" collapsed="false">
      <c r="A34" s="38"/>
      <c r="B34" s="41" t="s">
        <v>118</v>
      </c>
    </row>
    <row r="35" customFormat="false" ht="14.25" hidden="false" customHeight="false" outlineLevel="0" collapsed="false">
      <c r="A35" s="38"/>
      <c r="B35" s="41" t="s">
        <v>119</v>
      </c>
    </row>
    <row r="36" customFormat="false" ht="14.25" hidden="false" customHeight="false" outlineLevel="0" collapsed="false">
      <c r="A36" s="38"/>
      <c r="B36" s="41" t="s">
        <v>120</v>
      </c>
    </row>
    <row r="37" customFormat="false" ht="14.25" hidden="false" customHeight="false" outlineLevel="0" collapsed="false">
      <c r="A37" s="38"/>
      <c r="B37" s="41" t="s">
        <v>121</v>
      </c>
    </row>
    <row r="38" customFormat="false" ht="14.25" hidden="false" customHeight="false" outlineLevel="0" collapsed="false">
      <c r="A38" s="38"/>
      <c r="B38" s="41" t="s">
        <v>122</v>
      </c>
    </row>
    <row r="39" customFormat="false" ht="14.25" hidden="false" customHeight="false" outlineLevel="0" collapsed="false">
      <c r="A39" s="38"/>
      <c r="B39" s="41" t="s">
        <v>123</v>
      </c>
    </row>
    <row r="40" customFormat="false" ht="14.25" hidden="false" customHeight="false" outlineLevel="0" collapsed="false">
      <c r="A40" s="38"/>
      <c r="B40" s="41" t="s">
        <v>124</v>
      </c>
    </row>
  </sheetData>
  <mergeCells count="5">
    <mergeCell ref="A1:A7"/>
    <mergeCell ref="A9:A19"/>
    <mergeCell ref="A21:A23"/>
    <mergeCell ref="A24:A27"/>
    <mergeCell ref="A33:A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1" activeCellId="0" sqref="B1"/>
    </sheetView>
  </sheetViews>
  <sheetFormatPr defaultColWidth="8.63671875" defaultRowHeight="14.25" zeroHeight="false" outlineLevelRow="0" outlineLevelCol="0"/>
  <cols>
    <col collapsed="false" customWidth="true" hidden="false" outlineLevel="0" max="2" min="2" style="1" width="32.82"/>
    <col collapsed="false" customWidth="true" hidden="false" outlineLevel="0" max="3" min="3" style="1" width="53.45"/>
    <col collapsed="false" customWidth="true" hidden="false" outlineLevel="0" max="4" min="4" style="1" width="62.09"/>
    <col collapsed="false" customWidth="true" hidden="false" outlineLevel="0" max="5" min="5" style="1" width="60.36"/>
    <col collapsed="false" customWidth="true" hidden="false" outlineLevel="0" max="6" min="6" style="1" width="23.64"/>
    <col collapsed="false" customWidth="true" hidden="false" outlineLevel="0" max="7" min="7" style="1" width="17.82"/>
    <col collapsed="false" customWidth="true" hidden="false" outlineLevel="0" max="8" min="8" style="1" width="17.73"/>
  </cols>
  <sheetData>
    <row r="1" customFormat="false" ht="14.25" hidden="false" customHeight="false" outlineLevel="0" collapsed="false">
      <c r="B1" s="25" t="s">
        <v>125</v>
      </c>
      <c r="C1" s="46"/>
      <c r="D1" s="47"/>
      <c r="E1" s="47"/>
    </row>
    <row r="2" customFormat="false" ht="16.4" hidden="false" customHeight="false" outlineLevel="0" collapsed="false">
      <c r="B2" s="25"/>
      <c r="C2" s="48" t="s">
        <v>126</v>
      </c>
      <c r="D2" s="49" t="s">
        <v>127</v>
      </c>
      <c r="E2" s="49" t="s">
        <v>128</v>
      </c>
    </row>
    <row r="3" customFormat="false" ht="16.4" hidden="false" customHeight="false" outlineLevel="0" collapsed="false">
      <c r="B3" s="25"/>
      <c r="C3" s="48"/>
      <c r="D3" s="49" t="s">
        <v>129</v>
      </c>
      <c r="E3" s="49" t="s">
        <v>130</v>
      </c>
    </row>
    <row r="4" customFormat="false" ht="16.4" hidden="false" customHeight="false" outlineLevel="0" collapsed="false">
      <c r="B4" s="25"/>
      <c r="C4" s="48"/>
      <c r="D4" s="49" t="s">
        <v>131</v>
      </c>
      <c r="E4" s="49" t="s">
        <v>132</v>
      </c>
    </row>
    <row r="5" customFormat="false" ht="16.4" hidden="false" customHeight="false" outlineLevel="0" collapsed="false">
      <c r="B5" s="25"/>
      <c r="C5" s="48"/>
      <c r="D5" s="49" t="s">
        <v>133</v>
      </c>
      <c r="E5" s="49" t="s">
        <v>134</v>
      </c>
    </row>
    <row r="6" customFormat="false" ht="16.4" hidden="false" customHeight="false" outlineLevel="0" collapsed="false">
      <c r="B6" s="25"/>
      <c r="C6" s="48"/>
      <c r="D6" s="49" t="s">
        <v>135</v>
      </c>
      <c r="E6" s="49" t="s">
        <v>134</v>
      </c>
    </row>
    <row r="7" customFormat="false" ht="31.3" hidden="false" customHeight="false" outlineLevel="0" collapsed="false">
      <c r="B7" s="25"/>
      <c r="C7" s="48" t="s">
        <v>136</v>
      </c>
      <c r="D7" s="49" t="s">
        <v>137</v>
      </c>
      <c r="E7" s="49" t="s">
        <v>138</v>
      </c>
    </row>
    <row r="8" customFormat="false" ht="16.4" hidden="false" customHeight="false" outlineLevel="0" collapsed="false">
      <c r="B8" s="25"/>
      <c r="C8" s="48"/>
      <c r="D8" s="49" t="s">
        <v>139</v>
      </c>
      <c r="E8" s="49" t="s">
        <v>140</v>
      </c>
    </row>
    <row r="9" customFormat="false" ht="31.3" hidden="false" customHeight="false" outlineLevel="0" collapsed="false">
      <c r="B9" s="25"/>
      <c r="C9" s="48"/>
      <c r="D9" s="49" t="s">
        <v>141</v>
      </c>
      <c r="E9" s="49" t="s">
        <v>142</v>
      </c>
    </row>
    <row r="10" customFormat="false" ht="31.3" hidden="false" customHeight="false" outlineLevel="0" collapsed="false">
      <c r="B10" s="25"/>
      <c r="C10" s="48"/>
      <c r="D10" s="49" t="s">
        <v>143</v>
      </c>
      <c r="E10" s="49" t="s">
        <v>144</v>
      </c>
    </row>
    <row r="11" customFormat="false" ht="16.4" hidden="false" customHeight="false" outlineLevel="0" collapsed="false">
      <c r="B11" s="25"/>
      <c r="C11" s="48" t="s">
        <v>145</v>
      </c>
      <c r="D11" s="49" t="s">
        <v>146</v>
      </c>
      <c r="E11" s="49" t="s">
        <v>147</v>
      </c>
    </row>
    <row r="12" customFormat="false" ht="16.4" hidden="false" customHeight="false" outlineLevel="0" collapsed="false">
      <c r="B12" s="25"/>
      <c r="C12" s="48"/>
      <c r="D12" s="49" t="s">
        <v>148</v>
      </c>
      <c r="E12" s="49" t="s">
        <v>149</v>
      </c>
    </row>
    <row r="13" customFormat="false" ht="16.4" hidden="false" customHeight="false" outlineLevel="0" collapsed="false">
      <c r="B13" s="25"/>
      <c r="C13" s="48"/>
      <c r="D13" s="49" t="s">
        <v>150</v>
      </c>
      <c r="E13" s="49" t="s">
        <v>151</v>
      </c>
    </row>
    <row r="14" customFormat="false" ht="14.25" hidden="false" customHeight="false" outlineLevel="0" collapsed="false">
      <c r="B14" s="25"/>
      <c r="C14" s="48"/>
      <c r="D14" s="41" t="s">
        <v>152</v>
      </c>
      <c r="E14" s="41"/>
    </row>
    <row r="15" customFormat="false" ht="16.4" hidden="false" customHeight="true" outlineLevel="0" collapsed="false">
      <c r="B15" s="25"/>
      <c r="C15" s="50" t="s">
        <v>153</v>
      </c>
      <c r="D15" s="49" t="s">
        <v>154</v>
      </c>
      <c r="E15" s="49" t="s">
        <v>155</v>
      </c>
    </row>
    <row r="16" customFormat="false" ht="16.4" hidden="false" customHeight="false" outlineLevel="0" collapsed="false">
      <c r="B16" s="25"/>
      <c r="C16" s="50"/>
      <c r="D16" s="49" t="s">
        <v>156</v>
      </c>
      <c r="E16" s="49" t="s">
        <v>157</v>
      </c>
    </row>
    <row r="17" customFormat="false" ht="16.4" hidden="false" customHeight="false" outlineLevel="0" collapsed="false">
      <c r="B17" s="25"/>
      <c r="C17" s="50"/>
      <c r="D17" s="49" t="s">
        <v>158</v>
      </c>
      <c r="E17" s="49" t="s">
        <v>159</v>
      </c>
    </row>
    <row r="18" customFormat="false" ht="14.25" hidden="false" customHeight="false" outlineLevel="0" collapsed="false">
      <c r="B18" s="25"/>
      <c r="C18" s="50"/>
      <c r="D18" s="41" t="s">
        <v>160</v>
      </c>
      <c r="E18" s="41"/>
    </row>
    <row r="19" customFormat="false" ht="16.4" hidden="false" customHeight="false" outlineLevel="0" collapsed="false">
      <c r="B19" s="25"/>
      <c r="C19" s="48" t="s">
        <v>161</v>
      </c>
      <c r="D19" s="49" t="s">
        <v>162</v>
      </c>
      <c r="E19" s="49" t="s">
        <v>163</v>
      </c>
    </row>
    <row r="20" customFormat="false" ht="16.4" hidden="false" customHeight="false" outlineLevel="0" collapsed="false">
      <c r="B20" s="25"/>
      <c r="C20" s="48"/>
      <c r="D20" s="49" t="s">
        <v>164</v>
      </c>
      <c r="E20" s="49" t="s">
        <v>165</v>
      </c>
    </row>
    <row r="21" customFormat="false" ht="31.3" hidden="false" customHeight="false" outlineLevel="0" collapsed="false">
      <c r="B21" s="25"/>
      <c r="C21" s="48"/>
      <c r="D21" s="49" t="s">
        <v>166</v>
      </c>
      <c r="E21" s="49" t="s">
        <v>167</v>
      </c>
    </row>
    <row r="22" customFormat="false" ht="16.4" hidden="false" customHeight="false" outlineLevel="0" collapsed="false">
      <c r="B22" s="25"/>
      <c r="C22" s="48"/>
      <c r="D22" s="49" t="s">
        <v>168</v>
      </c>
      <c r="E22" s="49" t="s">
        <v>169</v>
      </c>
    </row>
    <row r="23" customFormat="false" ht="16.4" hidden="false" customHeight="false" outlineLevel="0" collapsed="false">
      <c r="B23" s="25"/>
      <c r="C23" s="48" t="s">
        <v>170</v>
      </c>
      <c r="D23" s="49" t="s">
        <v>171</v>
      </c>
      <c r="E23" s="49" t="s">
        <v>172</v>
      </c>
    </row>
    <row r="24" customFormat="false" ht="16.4" hidden="false" customHeight="false" outlineLevel="0" collapsed="false">
      <c r="B24" s="25"/>
      <c r="C24" s="48"/>
      <c r="D24" s="49" t="s">
        <v>173</v>
      </c>
      <c r="E24" s="49" t="s">
        <v>174</v>
      </c>
    </row>
    <row r="25" customFormat="false" ht="16.4" hidden="false" customHeight="false" outlineLevel="0" collapsed="false">
      <c r="B25" s="25"/>
      <c r="C25" s="48"/>
      <c r="D25" s="49" t="s">
        <v>175</v>
      </c>
      <c r="E25" s="49" t="s">
        <v>176</v>
      </c>
    </row>
    <row r="26" customFormat="false" ht="16.4" hidden="false" customHeight="false" outlineLevel="0" collapsed="false">
      <c r="B26" s="25"/>
      <c r="C26" s="48"/>
      <c r="D26" s="49" t="s">
        <v>177</v>
      </c>
      <c r="E26" s="49" t="s">
        <v>178</v>
      </c>
    </row>
    <row r="27" customFormat="false" ht="16.4" hidden="false" customHeight="false" outlineLevel="0" collapsed="false">
      <c r="B27" s="25"/>
      <c r="C27" s="48" t="s">
        <v>179</v>
      </c>
      <c r="D27" s="49" t="s">
        <v>180</v>
      </c>
      <c r="E27" s="49" t="s">
        <v>181</v>
      </c>
    </row>
    <row r="28" customFormat="false" ht="16.4" hidden="false" customHeight="false" outlineLevel="0" collapsed="false">
      <c r="B28" s="25"/>
      <c r="C28" s="48"/>
      <c r="D28" s="49" t="s">
        <v>182</v>
      </c>
      <c r="E28" s="49" t="s">
        <v>183</v>
      </c>
    </row>
    <row r="29" customFormat="false" ht="31.3" hidden="false" customHeight="false" outlineLevel="0" collapsed="false">
      <c r="B29" s="25"/>
      <c r="C29" s="48"/>
      <c r="D29" s="49" t="s">
        <v>184</v>
      </c>
      <c r="E29" s="49" t="s">
        <v>185</v>
      </c>
    </row>
    <row r="30" customFormat="false" ht="16.4" hidden="false" customHeight="false" outlineLevel="0" collapsed="false">
      <c r="B30" s="25"/>
      <c r="C30" s="48"/>
      <c r="D30" s="49" t="s">
        <v>133</v>
      </c>
      <c r="E30" s="49" t="s">
        <v>186</v>
      </c>
    </row>
    <row r="31" customFormat="false" ht="14.25" hidden="false" customHeight="false" outlineLevel="0" collapsed="false">
      <c r="B31" s="25"/>
      <c r="D31" s="39"/>
      <c r="E31" s="39" t="s">
        <v>187</v>
      </c>
    </row>
    <row r="32" customFormat="false" ht="14.25" hidden="false" customHeight="true" outlineLevel="0" collapsed="false">
      <c r="B32" s="25"/>
      <c r="C32" s="51" t="s">
        <v>81</v>
      </c>
      <c r="D32" s="41" t="s">
        <v>4</v>
      </c>
      <c r="E32" s="52" t="n">
        <v>1000</v>
      </c>
    </row>
    <row r="33" customFormat="false" ht="14.25" hidden="false" customHeight="false" outlineLevel="0" collapsed="false">
      <c r="B33" s="25"/>
      <c r="C33" s="51"/>
      <c r="D33" s="41" t="s">
        <v>5</v>
      </c>
      <c r="E33" s="52" t="n">
        <v>1000</v>
      </c>
    </row>
    <row r="34" customFormat="false" ht="14.25" hidden="false" customHeight="false" outlineLevel="0" collapsed="false">
      <c r="B34" s="25"/>
      <c r="C34" s="51"/>
      <c r="D34" s="41" t="s">
        <v>6</v>
      </c>
      <c r="E34" s="52" t="n">
        <v>1000</v>
      </c>
    </row>
    <row r="35" customFormat="false" ht="14.25" hidden="false" customHeight="false" outlineLevel="0" collapsed="false">
      <c r="B35" s="25"/>
      <c r="C35" s="51"/>
      <c r="D35" s="41" t="s">
        <v>7</v>
      </c>
      <c r="E35" s="52" t="n">
        <v>1000</v>
      </c>
    </row>
    <row r="36" customFormat="false" ht="14.25" hidden="false" customHeight="false" outlineLevel="0" collapsed="false">
      <c r="B36" s="25"/>
      <c r="C36" s="51"/>
      <c r="D36" s="41" t="s">
        <v>8</v>
      </c>
      <c r="E36" s="52" t="n">
        <v>1000</v>
      </c>
    </row>
    <row r="37" customFormat="false" ht="14.25" hidden="false" customHeight="false" outlineLevel="0" collapsed="false">
      <c r="B37" s="25"/>
      <c r="C37" s="51"/>
      <c r="D37" s="41" t="s">
        <v>36</v>
      </c>
      <c r="E37" s="8" t="n">
        <f aca="false">SUM(E32:E36)</f>
        <v>5000</v>
      </c>
    </row>
    <row r="38" customFormat="false" ht="14.25" hidden="false" customHeight="true" outlineLevel="0" collapsed="false">
      <c r="B38" s="25"/>
      <c r="C38" s="53" t="s">
        <v>188</v>
      </c>
      <c r="D38" s="41" t="s">
        <v>189</v>
      </c>
      <c r="E38" s="52" t="n">
        <v>400</v>
      </c>
    </row>
    <row r="39" customFormat="false" ht="14.25" hidden="false" customHeight="false" outlineLevel="0" collapsed="false">
      <c r="B39" s="25"/>
      <c r="C39" s="53"/>
      <c r="D39" s="41" t="s">
        <v>190</v>
      </c>
      <c r="E39" s="52" t="n">
        <v>400</v>
      </c>
    </row>
    <row r="40" customFormat="false" ht="14.25" hidden="false" customHeight="false" outlineLevel="0" collapsed="false">
      <c r="B40" s="25"/>
      <c r="C40" s="53"/>
      <c r="D40" s="41" t="s">
        <v>191</v>
      </c>
      <c r="E40" s="52" t="n">
        <v>400</v>
      </c>
    </row>
    <row r="41" customFormat="false" ht="14.25" hidden="false" customHeight="false" outlineLevel="0" collapsed="false">
      <c r="B41" s="25"/>
      <c r="C41" s="53"/>
      <c r="D41" s="41" t="s">
        <v>192</v>
      </c>
      <c r="E41" s="52" t="n">
        <v>400</v>
      </c>
    </row>
    <row r="42" customFormat="false" ht="14.25" hidden="false" customHeight="false" outlineLevel="0" collapsed="false">
      <c r="B42" s="25"/>
      <c r="C42" s="53"/>
      <c r="D42" s="41" t="s">
        <v>193</v>
      </c>
      <c r="E42" s="52" t="n">
        <v>400</v>
      </c>
    </row>
    <row r="43" customFormat="false" ht="14.25" hidden="false" customHeight="false" outlineLevel="0" collapsed="false">
      <c r="B43" s="25"/>
      <c r="C43" s="53"/>
      <c r="D43" s="41" t="s">
        <v>194</v>
      </c>
      <c r="E43" s="8" t="n">
        <f aca="false">SUM(E38:E42)</f>
        <v>2000</v>
      </c>
    </row>
    <row r="44" customFormat="false" ht="16.4" hidden="false" customHeight="false" outlineLevel="0" collapsed="false">
      <c r="B44" s="25"/>
      <c r="C44" s="53"/>
      <c r="D44" s="54" t="s">
        <v>195</v>
      </c>
      <c r="E44" s="52" t="n">
        <v>500</v>
      </c>
    </row>
    <row r="45" customFormat="false" ht="16.4" hidden="false" customHeight="false" outlineLevel="0" collapsed="false">
      <c r="B45" s="25"/>
      <c r="C45" s="53"/>
      <c r="D45" s="54" t="s">
        <v>196</v>
      </c>
      <c r="E45" s="52" t="n">
        <v>5000</v>
      </c>
    </row>
    <row r="46" customFormat="false" ht="16.4" hidden="false" customHeight="false" outlineLevel="0" collapsed="false">
      <c r="B46" s="25"/>
      <c r="C46" s="53"/>
      <c r="D46" s="54" t="s">
        <v>197</v>
      </c>
      <c r="E46" s="52" t="n">
        <v>1000</v>
      </c>
      <c r="F46" s="41" t="s">
        <v>198</v>
      </c>
    </row>
    <row r="47" customFormat="false" ht="14.25" hidden="false" customHeight="false" outlineLevel="0" collapsed="false">
      <c r="B47" s="25"/>
      <c r="C47" s="53"/>
      <c r="D47" s="41" t="s">
        <v>199</v>
      </c>
      <c r="E47" s="8" t="n">
        <f aca="false">SUM(E43:E46)</f>
        <v>8500</v>
      </c>
    </row>
    <row r="48" customFormat="false" ht="14.25" hidden="false" customHeight="false" outlineLevel="0" collapsed="false">
      <c r="B48" s="25"/>
    </row>
    <row r="49" customFormat="false" ht="14.25" hidden="false" customHeight="false" outlineLevel="0" collapsed="false">
      <c r="B49" s="25"/>
      <c r="F49" s="45" t="s">
        <v>4</v>
      </c>
      <c r="G49" s="45"/>
      <c r="H49" s="45" t="s">
        <v>5</v>
      </c>
      <c r="I49" s="45"/>
      <c r="J49" s="45" t="s">
        <v>200</v>
      </c>
      <c r="K49" s="45"/>
      <c r="L49" s="45" t="s">
        <v>7</v>
      </c>
      <c r="M49" s="45"/>
      <c r="N49" s="45" t="s">
        <v>201</v>
      </c>
      <c r="O49" s="45"/>
    </row>
    <row r="50" customFormat="false" ht="14.25" hidden="false" customHeight="true" outlineLevel="0" collapsed="false">
      <c r="B50" s="25"/>
      <c r="C50" s="55" t="s">
        <v>202</v>
      </c>
      <c r="D50" s="56" t="s">
        <v>203</v>
      </c>
      <c r="E50" s="41" t="s">
        <v>204</v>
      </c>
      <c r="F50" s="41" t="s">
        <v>205</v>
      </c>
      <c r="G50" s="41" t="s">
        <v>1</v>
      </c>
      <c r="H50" s="41" t="s">
        <v>205</v>
      </c>
      <c r="I50" s="41" t="s">
        <v>1</v>
      </c>
      <c r="J50" s="41" t="s">
        <v>205</v>
      </c>
      <c r="K50" s="41" t="s">
        <v>1</v>
      </c>
      <c r="L50" s="41" t="s">
        <v>205</v>
      </c>
      <c r="M50" s="41" t="s">
        <v>1</v>
      </c>
      <c r="N50" s="41" t="s">
        <v>205</v>
      </c>
      <c r="O50" s="41" t="s">
        <v>1</v>
      </c>
    </row>
    <row r="51" customFormat="false" ht="14.25" hidden="false" customHeight="false" outlineLevel="0" collapsed="false">
      <c r="B51" s="25"/>
      <c r="C51" s="55"/>
      <c r="D51" s="41" t="s">
        <v>206</v>
      </c>
      <c r="E51" s="41" t="n">
        <v>1</v>
      </c>
      <c r="F51" s="41" t="n">
        <v>5</v>
      </c>
      <c r="G51" s="41" t="n">
        <f aca="false">E51*F51</f>
        <v>5</v>
      </c>
      <c r="H51" s="41"/>
      <c r="I51" s="41" t="n">
        <f aca="false">$E51*H51</f>
        <v>0</v>
      </c>
      <c r="J51" s="41"/>
      <c r="K51" s="41" t="n">
        <f aca="false">$E51*J51</f>
        <v>0</v>
      </c>
      <c r="L51" s="41" t="n">
        <v>5</v>
      </c>
      <c r="M51" s="41" t="n">
        <f aca="false">$E51*L51</f>
        <v>5</v>
      </c>
      <c r="N51" s="41" t="n">
        <v>5</v>
      </c>
      <c r="O51" s="41" t="n">
        <f aca="false">$E51*N51</f>
        <v>5</v>
      </c>
    </row>
    <row r="52" customFormat="false" ht="14.25" hidden="false" customHeight="false" outlineLevel="0" collapsed="false">
      <c r="B52" s="25"/>
      <c r="C52" s="55"/>
      <c r="D52" s="41" t="s">
        <v>207</v>
      </c>
      <c r="E52" s="41" t="n">
        <v>2</v>
      </c>
      <c r="F52" s="41" t="n">
        <v>4</v>
      </c>
      <c r="G52" s="41" t="n">
        <f aca="false">E52*F52</f>
        <v>8</v>
      </c>
      <c r="H52" s="41"/>
      <c r="I52" s="41" t="n">
        <f aca="false">$E52*H52</f>
        <v>0</v>
      </c>
      <c r="J52" s="41"/>
      <c r="K52" s="41" t="n">
        <f aca="false">$E52*J52</f>
        <v>0</v>
      </c>
      <c r="L52" s="41" t="n">
        <v>4</v>
      </c>
      <c r="M52" s="41" t="n">
        <f aca="false">$E52*L52</f>
        <v>8</v>
      </c>
      <c r="N52" s="41" t="n">
        <v>4</v>
      </c>
      <c r="O52" s="41" t="n">
        <f aca="false">$E52*N52</f>
        <v>8</v>
      </c>
    </row>
    <row r="53" customFormat="false" ht="14.25" hidden="false" customHeight="false" outlineLevel="0" collapsed="false">
      <c r="B53" s="25"/>
      <c r="C53" s="55"/>
      <c r="D53" s="41" t="s">
        <v>208</v>
      </c>
      <c r="E53" s="41" t="n">
        <v>3</v>
      </c>
      <c r="F53" s="41" t="n">
        <v>3</v>
      </c>
      <c r="G53" s="41" t="n">
        <f aca="false">E53*F53</f>
        <v>9</v>
      </c>
      <c r="H53" s="41"/>
      <c r="I53" s="41" t="n">
        <f aca="false">$E53*H53</f>
        <v>0</v>
      </c>
      <c r="J53" s="41"/>
      <c r="K53" s="41" t="n">
        <f aca="false">$E53*J53</f>
        <v>0</v>
      </c>
      <c r="L53" s="41" t="n">
        <v>3</v>
      </c>
      <c r="M53" s="41" t="n">
        <f aca="false">$E53*L53</f>
        <v>9</v>
      </c>
      <c r="N53" s="41" t="n">
        <v>3</v>
      </c>
      <c r="O53" s="41" t="n">
        <f aca="false">$E53*N53</f>
        <v>9</v>
      </c>
    </row>
    <row r="54" customFormat="false" ht="14.25" hidden="false" customHeight="false" outlineLevel="0" collapsed="false">
      <c r="B54" s="25"/>
      <c r="C54" s="55"/>
      <c r="D54" s="41" t="s">
        <v>209</v>
      </c>
      <c r="E54" s="41" t="n">
        <v>5</v>
      </c>
      <c r="F54" s="41" t="n">
        <v>5</v>
      </c>
      <c r="G54" s="41" t="n">
        <f aca="false">E54*F54</f>
        <v>25</v>
      </c>
      <c r="H54" s="41"/>
      <c r="I54" s="41" t="n">
        <f aca="false">$E54*H54</f>
        <v>0</v>
      </c>
      <c r="J54" s="41"/>
      <c r="K54" s="41" t="n">
        <f aca="false">$E54*J54</f>
        <v>0</v>
      </c>
      <c r="L54" s="41" t="n">
        <v>5</v>
      </c>
      <c r="M54" s="41" t="n">
        <f aca="false">$E54*L54</f>
        <v>25</v>
      </c>
      <c r="N54" s="41" t="n">
        <v>5</v>
      </c>
      <c r="O54" s="41" t="n">
        <f aca="false">$E54*N54</f>
        <v>25</v>
      </c>
    </row>
    <row r="55" customFormat="false" ht="14.25" hidden="false" customHeight="false" outlineLevel="0" collapsed="false">
      <c r="B55" s="25"/>
      <c r="C55" s="55"/>
      <c r="D55" s="41" t="s">
        <v>210</v>
      </c>
      <c r="E55" s="41" t="n">
        <v>5</v>
      </c>
      <c r="F55" s="41" t="n">
        <v>2</v>
      </c>
      <c r="G55" s="41" t="n">
        <f aca="false">E55*F55</f>
        <v>10</v>
      </c>
      <c r="H55" s="41"/>
      <c r="I55" s="41" t="n">
        <f aca="false">$E55*H55</f>
        <v>0</v>
      </c>
      <c r="J55" s="41"/>
      <c r="K55" s="41" t="n">
        <f aca="false">$E55*J55</f>
        <v>0</v>
      </c>
      <c r="L55" s="41" t="n">
        <v>2</v>
      </c>
      <c r="M55" s="41" t="n">
        <f aca="false">$E55*L55</f>
        <v>10</v>
      </c>
      <c r="N55" s="41" t="n">
        <v>2</v>
      </c>
      <c r="O55" s="41" t="n">
        <f aca="false">$E55*N55</f>
        <v>10</v>
      </c>
    </row>
    <row r="56" customFormat="false" ht="14.25" hidden="false" customHeight="false" outlineLevel="0" collapsed="false">
      <c r="B56" s="25"/>
      <c r="C56" s="55"/>
      <c r="D56" s="41" t="s">
        <v>211</v>
      </c>
      <c r="E56" s="41" t="n">
        <v>10</v>
      </c>
      <c r="F56" s="41" t="n">
        <v>5</v>
      </c>
      <c r="G56" s="41" t="n">
        <f aca="false">E56*F56</f>
        <v>50</v>
      </c>
      <c r="H56" s="41"/>
      <c r="I56" s="41" t="n">
        <f aca="false">$E56*H56</f>
        <v>0</v>
      </c>
      <c r="J56" s="41"/>
      <c r="K56" s="41" t="n">
        <f aca="false">$E56*J56</f>
        <v>0</v>
      </c>
      <c r="L56" s="41" t="n">
        <v>5</v>
      </c>
      <c r="M56" s="41" t="n">
        <f aca="false">$E56*L56</f>
        <v>50</v>
      </c>
      <c r="N56" s="41" t="n">
        <v>5</v>
      </c>
      <c r="O56" s="41" t="n">
        <f aca="false">$E56*N56</f>
        <v>50</v>
      </c>
    </row>
    <row r="57" customFormat="false" ht="14.25" hidden="false" customHeight="false" outlineLevel="0" collapsed="false">
      <c r="B57" s="25"/>
      <c r="C57" s="55"/>
      <c r="D57" s="41" t="s">
        <v>212</v>
      </c>
      <c r="E57" s="41" t="n">
        <v>100</v>
      </c>
      <c r="F57" s="41" t="n">
        <v>0</v>
      </c>
      <c r="G57" s="41" t="n">
        <f aca="false">E57*F57</f>
        <v>0</v>
      </c>
      <c r="H57" s="41"/>
      <c r="I57" s="41" t="n">
        <f aca="false">$E57*H57</f>
        <v>0</v>
      </c>
      <c r="J57" s="41"/>
      <c r="K57" s="41" t="n">
        <f aca="false">$E57*J57</f>
        <v>0</v>
      </c>
      <c r="L57" s="41" t="n">
        <v>5</v>
      </c>
      <c r="M57" s="41" t="n">
        <f aca="false">$E57*L57</f>
        <v>500</v>
      </c>
      <c r="N57" s="41" t="n">
        <v>0</v>
      </c>
      <c r="O57" s="41" t="n">
        <f aca="false">$E57*N57</f>
        <v>0</v>
      </c>
    </row>
    <row r="58" customFormat="false" ht="14.25" hidden="false" customHeight="false" outlineLevel="0" collapsed="false">
      <c r="B58" s="25"/>
      <c r="C58" s="55"/>
      <c r="D58" s="41" t="s">
        <v>24</v>
      </c>
      <c r="E58" s="41"/>
      <c r="F58" s="57" t="n">
        <f aca="false">SUM(F51:F57)</f>
        <v>24</v>
      </c>
      <c r="G58" s="41" t="n">
        <f aca="false">E58*F58</f>
        <v>0</v>
      </c>
      <c r="H58" s="57" t="n">
        <f aca="false">SUM(H51:H57)</f>
        <v>0</v>
      </c>
      <c r="I58" s="41"/>
      <c r="J58" s="57" t="n">
        <f aca="false">SUM(J51:J57)</f>
        <v>0</v>
      </c>
      <c r="K58" s="41"/>
      <c r="L58" s="57" t="n">
        <f aca="false">SUM(L51:L57)</f>
        <v>29</v>
      </c>
      <c r="M58" s="41"/>
      <c r="N58" s="57" t="n">
        <f aca="false">SUM(N51:N57)</f>
        <v>24</v>
      </c>
      <c r="O58" s="41"/>
    </row>
    <row r="59" customFormat="false" ht="14.25" hidden="false" customHeight="false" outlineLevel="0" collapsed="false">
      <c r="B59" s="25"/>
      <c r="C59" s="55"/>
      <c r="D59" s="41" t="s">
        <v>25</v>
      </c>
      <c r="E59" s="41"/>
      <c r="F59" s="41"/>
      <c r="G59" s="57" t="n">
        <f aca="false">SUM(G51:G57)</f>
        <v>107</v>
      </c>
      <c r="H59" s="41"/>
      <c r="I59" s="57" t="n">
        <f aca="false">SUM(I51:I57)</f>
        <v>0</v>
      </c>
      <c r="J59" s="41"/>
      <c r="K59" s="57" t="n">
        <f aca="false">SUM(K51:K57)</f>
        <v>0</v>
      </c>
      <c r="L59" s="41"/>
      <c r="M59" s="57" t="n">
        <f aca="false">SUM(M51:M57)</f>
        <v>607</v>
      </c>
      <c r="N59" s="41"/>
      <c r="O59" s="57" t="n">
        <f aca="false">SUM(O51:O57)</f>
        <v>107</v>
      </c>
    </row>
    <row r="60" customFormat="false" ht="14.25" hidden="false" customHeight="false" outlineLevel="0" collapsed="false">
      <c r="B60" s="27" t="s">
        <v>213</v>
      </c>
      <c r="C60" s="38" t="s">
        <v>214</v>
      </c>
      <c r="D60" s="41"/>
      <c r="E60" s="41" t="s">
        <v>29</v>
      </c>
      <c r="F60" s="41" t="s">
        <v>215</v>
      </c>
      <c r="G60" s="41" t="s">
        <v>216</v>
      </c>
      <c r="H60" s="41" t="s">
        <v>217</v>
      </c>
    </row>
    <row r="61" customFormat="false" ht="14.25" hidden="false" customHeight="false" outlineLevel="0" collapsed="false">
      <c r="B61" s="27"/>
      <c r="C61" s="38"/>
      <c r="D61" s="41" t="s">
        <v>4</v>
      </c>
      <c r="E61" s="57" t="n">
        <f aca="false">E32</f>
        <v>1000</v>
      </c>
      <c r="F61" s="58" t="n">
        <f aca="false">E38</f>
        <v>400</v>
      </c>
      <c r="G61" s="58" t="n">
        <f aca="false">E61-F61</f>
        <v>600</v>
      </c>
      <c r="H61" s="59" t="n">
        <f aca="false">G61/E61</f>
        <v>0.6</v>
      </c>
    </row>
    <row r="62" customFormat="false" ht="14.25" hidden="false" customHeight="false" outlineLevel="0" collapsed="false">
      <c r="B62" s="27"/>
      <c r="C62" s="38"/>
      <c r="D62" s="41" t="s">
        <v>5</v>
      </c>
      <c r="E62" s="58" t="n">
        <f aca="false">E33</f>
        <v>1000</v>
      </c>
      <c r="F62" s="58" t="n">
        <f aca="false">E39</f>
        <v>400</v>
      </c>
      <c r="G62" s="58" t="n">
        <f aca="false">E62-F62</f>
        <v>600</v>
      </c>
      <c r="H62" s="59" t="n">
        <f aca="false">G62/E62</f>
        <v>0.6</v>
      </c>
    </row>
    <row r="63" customFormat="false" ht="14.25" hidden="false" customHeight="false" outlineLevel="0" collapsed="false">
      <c r="B63" s="27"/>
      <c r="C63" s="38"/>
      <c r="D63" s="41" t="s">
        <v>6</v>
      </c>
      <c r="E63" s="58" t="n">
        <f aca="false">E34</f>
        <v>1000</v>
      </c>
      <c r="F63" s="58" t="n">
        <f aca="false">E40</f>
        <v>400</v>
      </c>
      <c r="G63" s="58" t="n">
        <f aca="false">E63-F63</f>
        <v>600</v>
      </c>
      <c r="H63" s="59" t="n">
        <f aca="false">G63/E63</f>
        <v>0.6</v>
      </c>
    </row>
    <row r="64" customFormat="false" ht="14.25" hidden="false" customHeight="false" outlineLevel="0" collapsed="false">
      <c r="B64" s="27"/>
      <c r="C64" s="38"/>
      <c r="D64" s="41" t="s">
        <v>7</v>
      </c>
      <c r="E64" s="58" t="n">
        <f aca="false">E35</f>
        <v>1000</v>
      </c>
      <c r="F64" s="58" t="n">
        <f aca="false">E41</f>
        <v>400</v>
      </c>
      <c r="G64" s="58" t="n">
        <f aca="false">E64-F64</f>
        <v>600</v>
      </c>
      <c r="H64" s="59" t="n">
        <f aca="false">G64/E64</f>
        <v>0.6</v>
      </c>
    </row>
    <row r="65" customFormat="false" ht="14.25" hidden="false" customHeight="false" outlineLevel="0" collapsed="false">
      <c r="B65" s="27"/>
      <c r="C65" s="38"/>
      <c r="D65" s="41" t="s">
        <v>8</v>
      </c>
      <c r="E65" s="58" t="n">
        <f aca="false">E36</f>
        <v>1000</v>
      </c>
      <c r="F65" s="58" t="n">
        <f aca="false">E42</f>
        <v>400</v>
      </c>
      <c r="G65" s="58" t="n">
        <f aca="false">E65-F65</f>
        <v>600</v>
      </c>
      <c r="H65" s="59" t="n">
        <f aca="false">G65/E65</f>
        <v>0.6</v>
      </c>
    </row>
    <row r="66" customFormat="false" ht="14.25" hidden="false" customHeight="false" outlineLevel="0" collapsed="false">
      <c r="B66" s="27"/>
      <c r="C66" s="38"/>
      <c r="D66" s="41" t="s">
        <v>36</v>
      </c>
      <c r="E66" s="57" t="n">
        <f aca="false">SUM(E61:E65)</f>
        <v>5000</v>
      </c>
      <c r="F66" s="57" t="n">
        <f aca="false">SUM(F61:F65)</f>
        <v>2000</v>
      </c>
      <c r="G66" s="58" t="n">
        <f aca="false">E66-F66</f>
        <v>3000</v>
      </c>
      <c r="H66" s="59" t="n">
        <f aca="false">G66/E66</f>
        <v>0.6</v>
      </c>
    </row>
    <row r="67" customFormat="false" ht="14.25" hidden="false" customHeight="false" outlineLevel="0" collapsed="false">
      <c r="B67" s="27"/>
      <c r="C67" s="38"/>
      <c r="D67" s="41" t="s">
        <v>218</v>
      </c>
      <c r="E67" s="41" t="n">
        <f aca="false">E66</f>
        <v>5000</v>
      </c>
      <c r="F67" s="41"/>
      <c r="G67" s="41"/>
    </row>
    <row r="68" customFormat="false" ht="16.4" hidden="false" customHeight="false" outlineLevel="0" collapsed="false">
      <c r="B68" s="27"/>
      <c r="C68" s="38"/>
      <c r="D68" s="54" t="s">
        <v>219</v>
      </c>
      <c r="E68" s="41" t="n">
        <f aca="false">F66</f>
        <v>2000</v>
      </c>
      <c r="F68" s="41"/>
      <c r="G68" s="41"/>
    </row>
    <row r="69" customFormat="false" ht="14.25" hidden="false" customHeight="false" outlineLevel="0" collapsed="false">
      <c r="B69" s="27"/>
      <c r="C69" s="38"/>
      <c r="D69" s="41" t="s">
        <v>220</v>
      </c>
      <c r="E69" s="60" t="n">
        <f aca="false">G66</f>
        <v>3000</v>
      </c>
      <c r="G69" s="41"/>
    </row>
    <row r="70" customFormat="false" ht="14.25" hidden="false" customHeight="false" outlineLevel="0" collapsed="false">
      <c r="B70" s="27"/>
      <c r="C70" s="38"/>
      <c r="D70" s="41" t="s">
        <v>217</v>
      </c>
      <c r="E70" s="61" t="n">
        <f aca="false">E69/E67</f>
        <v>0.6</v>
      </c>
      <c r="F70" s="61"/>
      <c r="G70" s="41"/>
    </row>
    <row r="71" customFormat="false" ht="14.25" hidden="false" customHeight="false" outlineLevel="0" collapsed="false">
      <c r="B71" s="27"/>
      <c r="C71" s="38"/>
      <c r="D71" s="41" t="s">
        <v>221</v>
      </c>
      <c r="E71" s="60" t="n">
        <f aca="false">E44</f>
        <v>500</v>
      </c>
      <c r="F71" s="41"/>
      <c r="G71" s="41"/>
    </row>
    <row r="72" customFormat="false" ht="14.25" hidden="false" customHeight="false" outlineLevel="0" collapsed="false">
      <c r="B72" s="27"/>
      <c r="C72" s="38"/>
      <c r="D72" s="41" t="s">
        <v>222</v>
      </c>
      <c r="E72" s="60" t="n">
        <f aca="false">E69-E71</f>
        <v>2500</v>
      </c>
      <c r="G72" s="41"/>
    </row>
    <row r="73" customFormat="false" ht="14.25" hidden="false" customHeight="false" outlineLevel="0" collapsed="false">
      <c r="B73" s="27"/>
      <c r="C73" s="38"/>
      <c r="D73" s="41" t="s">
        <v>217</v>
      </c>
      <c r="E73" s="61" t="n">
        <f aca="false">E72/E67</f>
        <v>0.5</v>
      </c>
      <c r="F73" s="61"/>
      <c r="G73" s="41"/>
    </row>
    <row r="74" customFormat="false" ht="14.25" hidden="false" customHeight="false" outlineLevel="0" collapsed="false">
      <c r="B74" s="27"/>
      <c r="C74" s="38"/>
      <c r="D74" s="41" t="s">
        <v>223</v>
      </c>
      <c r="E74" s="60" t="n">
        <f aca="false">E45+E46</f>
        <v>6000</v>
      </c>
      <c r="F74" s="41"/>
      <c r="G74" s="41"/>
    </row>
    <row r="75" customFormat="false" ht="14.25" hidden="false" customHeight="false" outlineLevel="0" collapsed="false">
      <c r="B75" s="27"/>
      <c r="C75" s="38"/>
      <c r="D75" s="41" t="s">
        <v>224</v>
      </c>
      <c r="E75" s="61" t="n">
        <f aca="false">E72/E74</f>
        <v>0.416666666666667</v>
      </c>
      <c r="F75" s="41"/>
      <c r="G75" s="41"/>
    </row>
    <row r="76" customFormat="false" ht="14.25" hidden="false" customHeight="false" outlineLevel="0" collapsed="false">
      <c r="B76" s="27"/>
      <c r="C76" s="38"/>
      <c r="D76" s="41" t="s">
        <v>225</v>
      </c>
      <c r="E76" s="62" t="n">
        <f aca="false">E74/E72</f>
        <v>2.4</v>
      </c>
      <c r="F76" s="41"/>
      <c r="G76" s="41"/>
    </row>
  </sheetData>
  <mergeCells count="18">
    <mergeCell ref="B1:B59"/>
    <mergeCell ref="C2:C6"/>
    <mergeCell ref="C7:C10"/>
    <mergeCell ref="C11:C14"/>
    <mergeCell ref="C15:C18"/>
    <mergeCell ref="C19:C22"/>
    <mergeCell ref="C23:C26"/>
    <mergeCell ref="C27:C30"/>
    <mergeCell ref="C32:C37"/>
    <mergeCell ref="C38:C47"/>
    <mergeCell ref="F49:G49"/>
    <mergeCell ref="H49:I49"/>
    <mergeCell ref="J49:K49"/>
    <mergeCell ref="L49:M49"/>
    <mergeCell ref="N49:O49"/>
    <mergeCell ref="C50:C59"/>
    <mergeCell ref="B60:B76"/>
    <mergeCell ref="C60:C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0" sqref="B3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226</v>
      </c>
      <c r="B1" s="64" t="s">
        <v>227</v>
      </c>
      <c r="C1" s="64" t="s">
        <v>228</v>
      </c>
      <c r="D1" s="64" t="s">
        <v>229</v>
      </c>
    </row>
    <row r="2" customFormat="false" ht="15.75" hidden="false" customHeight="false" outlineLevel="0" collapsed="false">
      <c r="A2" s="66" t="s">
        <v>59</v>
      </c>
      <c r="B2" s="67" t="s">
        <v>230</v>
      </c>
      <c r="C2" s="54" t="s">
        <v>127</v>
      </c>
      <c r="D2" s="54" t="s">
        <v>128</v>
      </c>
    </row>
    <row r="3" customFormat="false" ht="15.75" hidden="false" customHeight="false" outlineLevel="0" collapsed="false">
      <c r="A3" s="66" t="s">
        <v>59</v>
      </c>
      <c r="B3" s="67" t="s">
        <v>126</v>
      </c>
      <c r="C3" s="54" t="s">
        <v>129</v>
      </c>
      <c r="D3" s="54" t="s">
        <v>130</v>
      </c>
    </row>
    <row r="4" customFormat="false" ht="15.75" hidden="false" customHeight="false" outlineLevel="0" collapsed="false">
      <c r="A4" s="66" t="s">
        <v>59</v>
      </c>
      <c r="B4" s="67" t="s">
        <v>126</v>
      </c>
      <c r="C4" s="54" t="s">
        <v>131</v>
      </c>
      <c r="D4" s="54" t="s">
        <v>132</v>
      </c>
    </row>
    <row r="5" customFormat="false" ht="15.75" hidden="false" customHeight="false" outlineLevel="0" collapsed="false">
      <c r="A5" s="66" t="s">
        <v>59</v>
      </c>
      <c r="B5" s="67" t="s">
        <v>126</v>
      </c>
      <c r="C5" s="54" t="s">
        <v>133</v>
      </c>
      <c r="D5" s="54" t="s">
        <v>134</v>
      </c>
    </row>
    <row r="6" customFormat="false" ht="15.75" hidden="false" customHeight="false" outlineLevel="0" collapsed="false">
      <c r="A6" s="66" t="s">
        <v>59</v>
      </c>
      <c r="B6" s="67" t="s">
        <v>126</v>
      </c>
      <c r="C6" s="54" t="s">
        <v>135</v>
      </c>
      <c r="D6" s="54" t="s">
        <v>134</v>
      </c>
    </row>
    <row r="7" customFormat="false" ht="31.3" hidden="false" customHeight="false" outlineLevel="0" collapsed="false">
      <c r="A7" s="66" t="s">
        <v>59</v>
      </c>
      <c r="B7" s="67" t="s">
        <v>136</v>
      </c>
      <c r="C7" s="54" t="s">
        <v>137</v>
      </c>
      <c r="D7" s="54" t="s">
        <v>138</v>
      </c>
    </row>
    <row r="8" customFormat="false" ht="15.75" hidden="false" customHeight="false" outlineLevel="0" collapsed="false">
      <c r="A8" s="66" t="s">
        <v>59</v>
      </c>
      <c r="B8" s="67" t="s">
        <v>136</v>
      </c>
      <c r="C8" s="54" t="s">
        <v>139</v>
      </c>
      <c r="D8" s="54" t="s">
        <v>140</v>
      </c>
    </row>
    <row r="9" customFormat="false" ht="15.75" hidden="false" customHeight="false" outlineLevel="0" collapsed="false">
      <c r="A9" s="66" t="s">
        <v>59</v>
      </c>
      <c r="B9" s="67" t="s">
        <v>136</v>
      </c>
      <c r="C9" s="54" t="s">
        <v>141</v>
      </c>
      <c r="D9" s="54" t="s">
        <v>142</v>
      </c>
    </row>
    <row r="10" customFormat="false" ht="31.3" hidden="false" customHeight="false" outlineLevel="0" collapsed="false">
      <c r="A10" s="66" t="s">
        <v>59</v>
      </c>
      <c r="B10" s="67" t="s">
        <v>136</v>
      </c>
      <c r="C10" s="54" t="s">
        <v>143</v>
      </c>
      <c r="D10" s="54" t="s">
        <v>144</v>
      </c>
    </row>
    <row r="11" customFormat="false" ht="15.75" hidden="false" customHeight="false" outlineLevel="0" collapsed="false">
      <c r="A11" s="66" t="s">
        <v>59</v>
      </c>
      <c r="B11" s="67" t="s">
        <v>145</v>
      </c>
      <c r="C11" s="54" t="s">
        <v>146</v>
      </c>
      <c r="D11" s="54" t="s">
        <v>147</v>
      </c>
    </row>
    <row r="12" customFormat="false" ht="15.75" hidden="false" customHeight="false" outlineLevel="0" collapsed="false">
      <c r="A12" s="66" t="s">
        <v>59</v>
      </c>
      <c r="B12" s="67" t="s">
        <v>145</v>
      </c>
      <c r="C12" s="54" t="s">
        <v>148</v>
      </c>
      <c r="D12" s="54" t="s">
        <v>149</v>
      </c>
    </row>
    <row r="13" customFormat="false" ht="15.75" hidden="false" customHeight="false" outlineLevel="0" collapsed="false">
      <c r="A13" s="66" t="s">
        <v>59</v>
      </c>
      <c r="B13" s="67" t="s">
        <v>145</v>
      </c>
      <c r="C13" s="54" t="s">
        <v>150</v>
      </c>
      <c r="D13" s="54" t="s">
        <v>151</v>
      </c>
    </row>
    <row r="14" customFormat="false" ht="15.75" hidden="false" customHeight="false" outlineLevel="0" collapsed="false">
      <c r="A14" s="66" t="s">
        <v>59</v>
      </c>
      <c r="B14" s="67" t="s">
        <v>145</v>
      </c>
      <c r="C14" s="41" t="s">
        <v>152</v>
      </c>
      <c r="D14" s="41"/>
    </row>
    <row r="15" customFormat="false" ht="15.75" hidden="false" customHeight="false" outlineLevel="0" collapsed="false">
      <c r="A15" s="66" t="s">
        <v>59</v>
      </c>
      <c r="B15" s="68" t="s">
        <v>231</v>
      </c>
      <c r="C15" s="54" t="s">
        <v>154</v>
      </c>
      <c r="D15" s="54" t="s">
        <v>155</v>
      </c>
    </row>
    <row r="16" customFormat="false" ht="15.75" hidden="false" customHeight="false" outlineLevel="0" collapsed="false">
      <c r="A16" s="66" t="s">
        <v>59</v>
      </c>
      <c r="B16" s="68" t="s">
        <v>231</v>
      </c>
      <c r="C16" s="54" t="s">
        <v>156</v>
      </c>
      <c r="D16" s="54" t="s">
        <v>157</v>
      </c>
    </row>
    <row r="17" customFormat="false" ht="15.75" hidden="false" customHeight="false" outlineLevel="0" collapsed="false">
      <c r="A17" s="66" t="s">
        <v>59</v>
      </c>
      <c r="B17" s="68" t="s">
        <v>231</v>
      </c>
      <c r="C17" s="54" t="s">
        <v>158</v>
      </c>
      <c r="D17" s="54" t="s">
        <v>159</v>
      </c>
    </row>
    <row r="18" customFormat="false" ht="15.75" hidden="false" customHeight="false" outlineLevel="0" collapsed="false">
      <c r="A18" s="66" t="s">
        <v>59</v>
      </c>
      <c r="B18" s="68" t="s">
        <v>231</v>
      </c>
      <c r="C18" s="41" t="s">
        <v>160</v>
      </c>
      <c r="D18" s="41"/>
    </row>
    <row r="19" customFormat="false" ht="15.75" hidden="false" customHeight="false" outlineLevel="0" collapsed="false">
      <c r="A19" s="66" t="s">
        <v>59</v>
      </c>
      <c r="B19" s="67" t="s">
        <v>161</v>
      </c>
      <c r="C19" s="54" t="s">
        <v>162</v>
      </c>
      <c r="D19" s="54" t="s">
        <v>163</v>
      </c>
    </row>
    <row r="20" customFormat="false" ht="15.75" hidden="false" customHeight="false" outlineLevel="0" collapsed="false">
      <c r="A20" s="66" t="s">
        <v>59</v>
      </c>
      <c r="B20" s="67" t="s">
        <v>161</v>
      </c>
      <c r="C20" s="54" t="s">
        <v>164</v>
      </c>
      <c r="D20" s="54" t="s">
        <v>165</v>
      </c>
    </row>
    <row r="21" customFormat="false" ht="31.3" hidden="false" customHeight="false" outlineLevel="0" collapsed="false">
      <c r="A21" s="66" t="s">
        <v>59</v>
      </c>
      <c r="B21" s="67" t="s">
        <v>161</v>
      </c>
      <c r="C21" s="54" t="s">
        <v>166</v>
      </c>
      <c r="D21" s="54" t="s">
        <v>167</v>
      </c>
    </row>
    <row r="22" customFormat="false" ht="15.75" hidden="false" customHeight="false" outlineLevel="0" collapsed="false">
      <c r="A22" s="66" t="s">
        <v>59</v>
      </c>
      <c r="B22" s="67" t="s">
        <v>161</v>
      </c>
      <c r="C22" s="54" t="s">
        <v>168</v>
      </c>
      <c r="D22" s="54" t="s">
        <v>169</v>
      </c>
    </row>
    <row r="23" customFormat="false" ht="15.75" hidden="false" customHeight="false" outlineLevel="0" collapsed="false">
      <c r="A23" s="66" t="s">
        <v>59</v>
      </c>
      <c r="B23" s="67" t="s">
        <v>170</v>
      </c>
      <c r="C23" s="54" t="s">
        <v>171</v>
      </c>
      <c r="D23" s="54" t="s">
        <v>172</v>
      </c>
    </row>
    <row r="24" customFormat="false" ht="15.75" hidden="false" customHeight="false" outlineLevel="0" collapsed="false">
      <c r="A24" s="66" t="s">
        <v>59</v>
      </c>
      <c r="B24" s="67" t="s">
        <v>170</v>
      </c>
      <c r="C24" s="54" t="s">
        <v>173</v>
      </c>
      <c r="D24" s="54" t="s">
        <v>174</v>
      </c>
    </row>
    <row r="25" customFormat="false" ht="15.75" hidden="false" customHeight="false" outlineLevel="0" collapsed="false">
      <c r="A25" s="66" t="s">
        <v>59</v>
      </c>
      <c r="B25" s="67" t="s">
        <v>170</v>
      </c>
      <c r="C25" s="54" t="s">
        <v>175</v>
      </c>
      <c r="D25" s="54" t="s">
        <v>176</v>
      </c>
    </row>
    <row r="26" customFormat="false" ht="15.75" hidden="false" customHeight="false" outlineLevel="0" collapsed="false">
      <c r="A26" s="66" t="s">
        <v>59</v>
      </c>
      <c r="B26" s="67" t="s">
        <v>170</v>
      </c>
      <c r="C26" s="54" t="s">
        <v>177</v>
      </c>
      <c r="D26" s="54" t="s">
        <v>178</v>
      </c>
    </row>
    <row r="27" customFormat="false" ht="15.75" hidden="false" customHeight="false" outlineLevel="0" collapsed="false">
      <c r="A27" s="66" t="s">
        <v>59</v>
      </c>
      <c r="B27" s="67" t="s">
        <v>179</v>
      </c>
      <c r="C27" s="54" t="s">
        <v>180</v>
      </c>
      <c r="D27" s="54" t="s">
        <v>181</v>
      </c>
    </row>
    <row r="28" customFormat="false" ht="15.75" hidden="false" customHeight="false" outlineLevel="0" collapsed="false">
      <c r="A28" s="66" t="s">
        <v>59</v>
      </c>
      <c r="B28" s="67" t="s">
        <v>179</v>
      </c>
      <c r="C28" s="54" t="s">
        <v>182</v>
      </c>
      <c r="D28" s="54" t="s">
        <v>183</v>
      </c>
    </row>
    <row r="29" customFormat="false" ht="31.3" hidden="false" customHeight="false" outlineLevel="0" collapsed="false">
      <c r="A29" s="66" t="s">
        <v>59</v>
      </c>
      <c r="B29" s="67" t="s">
        <v>179</v>
      </c>
      <c r="C29" s="54" t="s">
        <v>184</v>
      </c>
      <c r="D29" s="54" t="s">
        <v>185</v>
      </c>
    </row>
    <row r="30" customFormat="false" ht="15.75" hidden="false" customHeight="false" outlineLevel="0" collapsed="false">
      <c r="A30" s="66" t="s">
        <v>59</v>
      </c>
      <c r="B30" s="67" t="s">
        <v>179</v>
      </c>
      <c r="C30" s="54" t="s">
        <v>133</v>
      </c>
      <c r="D30" s="54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429687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54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7" t="s">
        <v>230</v>
      </c>
      <c r="C2" s="54" t="str">
        <f aca="false">original!D2</f>
        <v>Job Seekers (Fresh Graduates)</v>
      </c>
      <c r="D2" s="54" t="str">
        <f aca="false">original!E2</f>
        <v>3 Million OMR</v>
      </c>
    </row>
    <row r="3" customFormat="false" ht="15.75" hidden="false" customHeight="false" outlineLevel="0" collapsed="false">
      <c r="A3" s="66" t="s">
        <v>59</v>
      </c>
      <c r="B3" s="67" t="s">
        <v>126</v>
      </c>
      <c r="C3" s="54" t="str">
        <f aca="false">original!D3</f>
        <v>Skilled Professionals</v>
      </c>
      <c r="D3" s="54" t="str">
        <f aca="false">original!E3</f>
        <v>4 Million OMR</v>
      </c>
    </row>
    <row r="4" customFormat="false" ht="15.75" hidden="false" customHeight="false" outlineLevel="0" collapsed="false">
      <c r="A4" s="66" t="s">
        <v>59</v>
      </c>
      <c r="B4" s="67" t="s">
        <v>126</v>
      </c>
      <c r="C4" s="54" t="str">
        <f aca="false">original!D4</f>
        <v>Employers &amp; Companies (SMEs, Corporates)</v>
      </c>
      <c r="D4" s="54" t="str">
        <f aca="false">original!E4</f>
        <v>6 Million OMR</v>
      </c>
    </row>
    <row r="5" customFormat="false" ht="15.75" hidden="false" customHeight="false" outlineLevel="0" collapsed="false">
      <c r="A5" s="66" t="s">
        <v>59</v>
      </c>
      <c r="B5" s="67" t="s">
        <v>126</v>
      </c>
      <c r="C5" s="54" t="str">
        <f aca="false">original!D5</f>
        <v>Recruitment Agencies</v>
      </c>
      <c r="D5" s="54" t="str">
        <f aca="false">original!E5</f>
        <v>2 Million OMR</v>
      </c>
    </row>
    <row r="6" customFormat="false" ht="15.75" hidden="false" customHeight="false" outlineLevel="0" collapsed="false">
      <c r="A6" s="66" t="s">
        <v>59</v>
      </c>
      <c r="B6" s="67" t="s">
        <v>126</v>
      </c>
      <c r="C6" s="54" t="str">
        <f aca="false">original!D6</f>
        <v>Other Segments</v>
      </c>
      <c r="D6" s="54" t="str">
        <f aca="false">original!E6</f>
        <v>2 Million OMR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33" activeCellId="0" sqref="D33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31.3" hidden="false" customHeight="false" outlineLevel="0" collapsed="false">
      <c r="A2" s="66" t="s">
        <v>59</v>
      </c>
      <c r="B2" s="67" t="s">
        <v>136</v>
      </c>
      <c r="C2" s="54" t="str">
        <f aca="false">original!D7</f>
        <v>AI-Powered Job Matching</v>
      </c>
      <c r="D2" s="54" t="str">
        <f aca="false">original!E7</f>
        <v>Uses AI to match job seekers with relevant job postings based on skills and experience.</v>
      </c>
    </row>
    <row r="3" customFormat="false" ht="15.75" hidden="false" customHeight="false" outlineLevel="0" collapsed="false">
      <c r="A3" s="66" t="s">
        <v>59</v>
      </c>
      <c r="B3" s="67" t="s">
        <v>136</v>
      </c>
      <c r="C3" s="54" t="str">
        <f aca="false">original!D8</f>
        <v>Verified Employer Listings</v>
      </c>
      <c r="D3" s="54" t="str">
        <f aca="false">original!E8</f>
        <v>Ensures job listings are authentic and from credible companies.</v>
      </c>
    </row>
    <row r="4" customFormat="false" ht="15.75" hidden="false" customHeight="false" outlineLevel="0" collapsed="false">
      <c r="A4" s="66" t="s">
        <v>59</v>
      </c>
      <c r="B4" s="67" t="s">
        <v>136</v>
      </c>
      <c r="C4" s="54" t="str">
        <f aca="false">original!D9</f>
        <v>Career Development &amp; Upskilling</v>
      </c>
      <c r="D4" s="54" t="str">
        <f aca="false">original!E9</f>
        <v>Provides online courses, resume-building tools, and interview coaching.</v>
      </c>
    </row>
    <row r="5" customFormat="false" ht="31.3" hidden="false" customHeight="false" outlineLevel="0" collapsed="false">
      <c r="A5" s="66" t="s">
        <v>59</v>
      </c>
      <c r="B5" s="67" t="s">
        <v>136</v>
      </c>
      <c r="C5" s="54" t="str">
        <f aca="false">original!D10</f>
        <v>Seamless Hiring Process</v>
      </c>
      <c r="D5" s="54" t="str">
        <f aca="false">original!E10</f>
        <v>Employers can streamline recruitment with automated shortlisting and scheduling.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7" t="s">
        <v>145</v>
      </c>
      <c r="C2" s="54" t="str">
        <f aca="false">original!D11</f>
        <v>Direct Sales</v>
      </c>
      <c r="D2" s="54" t="str">
        <f aca="false">original!E11</f>
        <v>Subscription-based plans for employers and recruiters.</v>
      </c>
    </row>
    <row r="3" customFormat="false" ht="15.75" hidden="false" customHeight="false" outlineLevel="0" collapsed="false">
      <c r="A3" s="66" t="s">
        <v>59</v>
      </c>
      <c r="B3" s="67" t="s">
        <v>145</v>
      </c>
      <c r="C3" s="54" t="str">
        <f aca="false">original!D12</f>
        <v>Online Platform</v>
      </c>
      <c r="D3" s="54" t="str">
        <f aca="false">original!E12</f>
        <v>Web and mobile app for job seekers and recruiters.</v>
      </c>
    </row>
    <row r="4" customFormat="false" ht="15.75" hidden="false" customHeight="false" outlineLevel="0" collapsed="false">
      <c r="A4" s="66" t="s">
        <v>59</v>
      </c>
      <c r="B4" s="67" t="s">
        <v>145</v>
      </c>
      <c r="C4" s="54" t="str">
        <f aca="false">original!D13</f>
        <v>Partnerships</v>
      </c>
      <c r="D4" s="54" t="str">
        <f aca="false">original!E13</f>
        <v>Collaboration with universities, training centers, and businesses</v>
      </c>
    </row>
    <row r="5" customFormat="false" ht="15.75" hidden="false" customHeight="false" outlineLevel="0" collapsed="false">
      <c r="A5" s="66" t="s">
        <v>59</v>
      </c>
      <c r="B5" s="67" t="s">
        <v>145</v>
      </c>
      <c r="C5" s="54" t="str">
        <f aca="false">original!D14</f>
        <v>Other Channels</v>
      </c>
      <c r="D5" s="54" t="n">
        <f aca="false">original!E14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8" t="s">
        <v>231</v>
      </c>
      <c r="C2" s="54" t="str">
        <f aca="false">original!D15</f>
        <v>24/7 Live Chat Support</v>
      </c>
      <c r="D2" s="54" t="str">
        <f aca="false">original!E15</f>
        <v>Instant help for job seekers and employers.</v>
      </c>
    </row>
    <row r="3" customFormat="false" ht="15.75" hidden="false" customHeight="false" outlineLevel="0" collapsed="false">
      <c r="A3" s="66" t="s">
        <v>59</v>
      </c>
      <c r="B3" s="68" t="s">
        <v>231</v>
      </c>
      <c r="C3" s="54" t="str">
        <f aca="false">original!D16</f>
        <v>WhatsApp &amp; Email Support</v>
      </c>
      <c r="D3" s="54" t="str">
        <f aca="false">original!E16</f>
        <v>Easy access to customer support for queries.</v>
      </c>
    </row>
    <row r="4" customFormat="false" ht="15.75" hidden="false" customHeight="false" outlineLevel="0" collapsed="false">
      <c r="A4" s="66" t="s">
        <v>59</v>
      </c>
      <c r="B4" s="68" t="s">
        <v>231</v>
      </c>
      <c r="C4" s="54" t="str">
        <f aca="false">original!D17</f>
        <v>Community Engagement</v>
      </c>
      <c r="D4" s="54" t="str">
        <f aca="false">original!E17</f>
        <v>Online forums, blogs, and networking events for career advice.</v>
      </c>
    </row>
    <row r="5" customFormat="false" ht="15.75" hidden="false" customHeight="false" outlineLevel="0" collapsed="false">
      <c r="A5" s="66" t="s">
        <v>59</v>
      </c>
      <c r="B5" s="68" t="s">
        <v>231</v>
      </c>
      <c r="C5" s="54" t="str">
        <f aca="false">original!D18</f>
        <v>Other Customer Relationship</v>
      </c>
      <c r="D5" s="54" t="n">
        <f aca="false">original!E18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7" t="s">
        <v>161</v>
      </c>
      <c r="C2" s="54" t="str">
        <f aca="false">original!D19</f>
        <v>Platform Development</v>
      </c>
      <c r="D2" s="54" t="str">
        <f aca="false">original!E19</f>
        <v>Building and maintaining the web &amp; mobile application.</v>
      </c>
    </row>
    <row r="3" customFormat="false" ht="15.75" hidden="false" customHeight="false" outlineLevel="0" collapsed="false">
      <c r="A3" s="66" t="s">
        <v>59</v>
      </c>
      <c r="B3" s="67" t="s">
        <v>161</v>
      </c>
      <c r="C3" s="54" t="str">
        <f aca="false">original!D20</f>
        <v>Job Listings Management</v>
      </c>
      <c r="D3" s="54" t="str">
        <f aca="false">original!E20</f>
        <v>Verifying employer job postings and monitoring fake listings.</v>
      </c>
    </row>
    <row r="4" customFormat="false" ht="31.3" hidden="false" customHeight="false" outlineLevel="0" collapsed="false">
      <c r="A4" s="66" t="s">
        <v>59</v>
      </c>
      <c r="B4" s="67" t="s">
        <v>161</v>
      </c>
      <c r="C4" s="54" t="str">
        <f aca="false">original!D21</f>
        <v>AI Job Matching</v>
      </c>
      <c r="D4" s="54" t="str">
        <f aca="false">original!E21</f>
        <v>Implementing and refining AI algorithms for better job recommendations.</v>
      </c>
    </row>
    <row r="5" customFormat="false" ht="15.75" hidden="false" customHeight="false" outlineLevel="0" collapsed="false">
      <c r="A5" s="66" t="s">
        <v>59</v>
      </c>
      <c r="B5" s="67" t="s">
        <v>161</v>
      </c>
      <c r="C5" s="54" t="str">
        <f aca="false">original!D22</f>
        <v>Marketing &amp; Outreach</v>
      </c>
      <c r="D5" s="54" t="str">
        <f aca="false">original!E22</f>
        <v>Digital marketing campaigns to attract job seekers and employers.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7" t="s">
        <v>170</v>
      </c>
      <c r="C2" s="54" t="str">
        <f aca="false">original!D23</f>
        <v>Software Developers</v>
      </c>
      <c r="D2" s="54" t="str">
        <f aca="false">original!E23</f>
        <v>80,000 OMR annually</v>
      </c>
    </row>
    <row r="3" customFormat="false" ht="15.75" hidden="false" customHeight="false" outlineLevel="0" collapsed="false">
      <c r="A3" s="66" t="s">
        <v>59</v>
      </c>
      <c r="B3" s="67" t="s">
        <v>170</v>
      </c>
      <c r="C3" s="54" t="str">
        <f aca="false">original!D24</f>
        <v>AI Algorithms</v>
      </c>
      <c r="D3" s="54" t="str">
        <f aca="false">original!E24</f>
        <v>25,000 OMR research &amp; development</v>
      </c>
    </row>
    <row r="4" customFormat="false" ht="15.75" hidden="false" customHeight="false" outlineLevel="0" collapsed="false">
      <c r="A4" s="66" t="s">
        <v>59</v>
      </c>
      <c r="B4" s="67" t="s">
        <v>170</v>
      </c>
      <c r="C4" s="54" t="str">
        <f aca="false">original!D25</f>
        <v>Marketing &amp; Branding</v>
      </c>
      <c r="D4" s="54" t="str">
        <f aca="false">original!E25</f>
        <v>40,000 OMR per year</v>
      </c>
    </row>
    <row r="5" customFormat="false" ht="15.75" hidden="false" customHeight="false" outlineLevel="0" collapsed="false">
      <c r="A5" s="66" t="s">
        <v>59</v>
      </c>
      <c r="B5" s="67" t="s">
        <v>170</v>
      </c>
      <c r="C5" s="54" t="str">
        <f aca="false">original!D26</f>
        <v>Customer Support Team</v>
      </c>
      <c r="D5" s="54" t="str">
        <f aca="false">original!E26</f>
        <v>30,000 OMR annually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289062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53.45"/>
    <col collapsed="false" customWidth="true" hidden="false" outlineLevel="0" max="3" min="3" style="63" width="62.09"/>
    <col collapsed="false" customWidth="true" hidden="false" outlineLevel="0" max="4" min="4" style="63" width="63.37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63"/>
    <col collapsed="false" customWidth="true" hidden="false" outlineLevel="0" max="16384" min="16383" style="63" width="10.18"/>
  </cols>
  <sheetData>
    <row r="1" s="65" customFormat="true" ht="19.7" hidden="false" customHeight="false" outlineLevel="0" collapsed="false">
      <c r="A1" s="64" t="s">
        <v>232</v>
      </c>
      <c r="B1" s="64" t="s">
        <v>233</v>
      </c>
      <c r="C1" s="64" t="s">
        <v>234</v>
      </c>
      <c r="D1" s="64" t="s">
        <v>235</v>
      </c>
    </row>
    <row r="2" customFormat="false" ht="15.75" hidden="false" customHeight="false" outlineLevel="0" collapsed="false">
      <c r="A2" s="66" t="s">
        <v>59</v>
      </c>
      <c r="B2" s="67" t="s">
        <v>179</v>
      </c>
      <c r="C2" s="54" t="str">
        <f aca="false">original!D27</f>
        <v>Universities &amp; Training Centers</v>
      </c>
      <c r="D2" s="54" t="str">
        <f aca="false">original!E27</f>
        <v>Collaboration to help fresh graduates find jobs and improve skills.</v>
      </c>
    </row>
    <row r="3" customFormat="false" ht="15.75" hidden="false" customHeight="false" outlineLevel="0" collapsed="false">
      <c r="A3" s="66" t="s">
        <v>59</v>
      </c>
      <c r="B3" s="67" t="s">
        <v>179</v>
      </c>
      <c r="C3" s="54" t="str">
        <f aca="false">original!D28</f>
        <v>Corporate Employers</v>
      </c>
      <c r="D3" s="54" t="str">
        <f aca="false">original!E28</f>
        <v>Partnerships to list verified job openings and internships.</v>
      </c>
    </row>
    <row r="4" customFormat="false" ht="31.3" hidden="false" customHeight="false" outlineLevel="0" collapsed="false">
      <c r="A4" s="66" t="s">
        <v>59</v>
      </c>
      <c r="B4" s="67" t="s">
        <v>179</v>
      </c>
      <c r="C4" s="54" t="str">
        <f aca="false">original!D29</f>
        <v>Government Agencies</v>
      </c>
      <c r="D4" s="54" t="str">
        <f aca="false">original!E29</f>
        <v>Working with labor and employment ministries for regulatory compliance.</v>
      </c>
    </row>
    <row r="5" customFormat="false" ht="15.75" hidden="false" customHeight="false" outlineLevel="0" collapsed="false">
      <c r="A5" s="66" t="s">
        <v>59</v>
      </c>
      <c r="B5" s="67" t="s">
        <v>179</v>
      </c>
      <c r="C5" s="54" t="str">
        <f aca="false">original!D30</f>
        <v>Recruitment Agencies</v>
      </c>
      <c r="D5" s="54" t="str">
        <f aca="false">original!E30</f>
        <v>Integrating their job postings and hiring services into the platform.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" activeCellId="0" sqref="C1"/>
    </sheetView>
  </sheetViews>
  <sheetFormatPr defaultColWidth="8.54296875" defaultRowHeight="15.75" zeroHeight="false" outlineLevelRow="0" outlineLevelCol="0"/>
  <cols>
    <col collapsed="false" customWidth="true" hidden="false" outlineLevel="0" max="1" min="1" style="63" width="22.27"/>
    <col collapsed="false" customWidth="true" hidden="false" outlineLevel="0" max="2" min="2" style="63" width="62.09"/>
    <col collapsed="false" customWidth="true" hidden="false" outlineLevel="0" max="3" min="3" style="63" width="32.18"/>
    <col collapsed="false" customWidth="true" hidden="false" outlineLevel="0" max="4" min="4" style="63" width="23.64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54"/>
    <col collapsed="false" customWidth="true" hidden="false" outlineLevel="0" max="16384" min="16383" style="63" width="10.18"/>
  </cols>
  <sheetData>
    <row r="1" s="65" customFormat="true" ht="21" hidden="false" customHeight="true" outlineLevel="0" collapsed="false">
      <c r="A1" s="64" t="s">
        <v>232</v>
      </c>
      <c r="B1" s="64" t="s">
        <v>233</v>
      </c>
      <c r="C1" s="69" t="s">
        <v>236</v>
      </c>
    </row>
    <row r="2" customFormat="false" ht="21" hidden="false" customHeight="true" outlineLevel="0" collapsed="false">
      <c r="A2" s="66" t="s">
        <v>59</v>
      </c>
      <c r="B2" s="66" t="str">
        <f aca="false">original!D32</f>
        <v>Royalty</v>
      </c>
      <c r="C2" s="52" t="n">
        <f aca="false">original!E32</f>
        <v>1000</v>
      </c>
    </row>
    <row r="3" customFormat="false" ht="21" hidden="false" customHeight="true" outlineLevel="0" collapsed="false">
      <c r="A3" s="66" t="s">
        <v>59</v>
      </c>
      <c r="B3" s="66" t="str">
        <f aca="false">original!D33</f>
        <v>Fees</v>
      </c>
      <c r="C3" s="52" t="n">
        <f aca="false">original!E33</f>
        <v>1000</v>
      </c>
    </row>
    <row r="4" customFormat="false" ht="21" hidden="false" customHeight="true" outlineLevel="0" collapsed="false">
      <c r="A4" s="66" t="s">
        <v>59</v>
      </c>
      <c r="B4" s="66" t="str">
        <f aca="false">original!D34</f>
        <v>spinoff</v>
      </c>
      <c r="C4" s="52" t="n">
        <f aca="false">original!E34</f>
        <v>1000</v>
      </c>
    </row>
    <row r="5" customFormat="false" ht="21" hidden="false" customHeight="true" outlineLevel="0" collapsed="false">
      <c r="A5" s="66" t="s">
        <v>59</v>
      </c>
      <c r="B5" s="66" t="str">
        <f aca="false">original!D35</f>
        <v>Franchise</v>
      </c>
      <c r="C5" s="52" t="n">
        <f aca="false">original!E35</f>
        <v>1000</v>
      </c>
    </row>
    <row r="6" customFormat="false" ht="21" hidden="false" customHeight="true" outlineLevel="0" collapsed="false">
      <c r="A6" s="66" t="s">
        <v>59</v>
      </c>
      <c r="B6" s="66" t="str">
        <f aca="false">original!D36</f>
        <v>Other</v>
      </c>
      <c r="C6" s="52" t="n">
        <f aca="false">original!E36</f>
        <v>1000</v>
      </c>
    </row>
    <row r="7" customFormat="false" ht="21" hidden="false" customHeight="true" outlineLevel="0" collapsed="false">
      <c r="A7" s="66" t="s">
        <v>59</v>
      </c>
      <c r="B7" s="66" t="str">
        <f aca="false">original!D37</f>
        <v>Total</v>
      </c>
      <c r="C7" s="52" t="n">
        <f aca="false">original!E37</f>
        <v>5000</v>
      </c>
    </row>
    <row r="32" customFormat="false" ht="21" hidden="false" customHeight="true" outlineLevel="0" collapsed="false">
      <c r="A32" s="66"/>
    </row>
    <row r="33" customFormat="false" ht="21" hidden="false" customHeight="true" outlineLevel="0" collapsed="false">
      <c r="A33" s="66"/>
    </row>
    <row r="34" customFormat="false" ht="21" hidden="false" customHeight="true" outlineLevel="0" collapsed="false">
      <c r="A34" s="66"/>
    </row>
    <row r="35" customFormat="false" ht="21" hidden="false" customHeight="true" outlineLevel="0" collapsed="false">
      <c r="A35" s="66"/>
    </row>
    <row r="36" customFormat="false" ht="21" hidden="false" customHeight="true" outlineLevel="0" collapsed="false">
      <c r="A36" s="66"/>
    </row>
    <row r="37" customFormat="false" ht="21" hidden="false" customHeight="true" outlineLevel="0" collapsed="false">
      <c r="A37" s="6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4296875" defaultRowHeight="15.75" zeroHeight="false" outlineLevelRow="0" outlineLevelCol="0"/>
  <cols>
    <col collapsed="false" customWidth="true" hidden="false" outlineLevel="0" max="1" min="1" style="63" width="53.45"/>
    <col collapsed="false" customWidth="true" hidden="false" outlineLevel="0" max="2" min="2" style="63" width="62.09"/>
    <col collapsed="false" customWidth="true" hidden="false" outlineLevel="0" max="3" min="3" style="63" width="32.18"/>
    <col collapsed="false" customWidth="true" hidden="false" outlineLevel="0" max="4" min="4" style="63" width="23.64"/>
    <col collapsed="false" customWidth="true" hidden="false" outlineLevel="0" max="5" min="5" style="63" width="10.27"/>
    <col collapsed="false" customWidth="true" hidden="false" outlineLevel="0" max="6" min="6" style="63" width="17.73"/>
    <col collapsed="false" customWidth="false" hidden="false" outlineLevel="0" max="16382" min="7" style="63" width="8.54"/>
    <col collapsed="false" customWidth="true" hidden="false" outlineLevel="0" max="16384" min="16383" style="63" width="10.18"/>
  </cols>
  <sheetData>
    <row r="1" s="65" customFormat="true" ht="21" hidden="false" customHeight="true" outlineLevel="0" collapsed="false">
      <c r="A1" s="64" t="s">
        <v>232</v>
      </c>
      <c r="B1" s="64" t="s">
        <v>233</v>
      </c>
      <c r="C1" s="69" t="s">
        <v>236</v>
      </c>
    </row>
    <row r="2" customFormat="false" ht="21" hidden="false" customHeight="true" outlineLevel="0" collapsed="false">
      <c r="A2" s="70" t="s">
        <v>59</v>
      </c>
      <c r="B2" s="66" t="str">
        <f aca="false">original!D38</f>
        <v>COGS/Cost of Sales for Royalty</v>
      </c>
      <c r="C2" s="52" t="n">
        <f aca="false">original!E38</f>
        <v>400</v>
      </c>
    </row>
    <row r="3" customFormat="false" ht="21" hidden="false" customHeight="true" outlineLevel="0" collapsed="false">
      <c r="A3" s="70" t="s">
        <v>59</v>
      </c>
      <c r="B3" s="66" t="str">
        <f aca="false">original!D39</f>
        <v>COGS/Cost of Sales for Fees</v>
      </c>
      <c r="C3" s="52" t="n">
        <f aca="false">original!E39</f>
        <v>400</v>
      </c>
    </row>
    <row r="4" customFormat="false" ht="21" hidden="false" customHeight="true" outlineLevel="0" collapsed="false">
      <c r="A4" s="70" t="s">
        <v>59</v>
      </c>
      <c r="B4" s="66" t="str">
        <f aca="false">original!D40</f>
        <v>COGS/Cost of Sales for spinoff</v>
      </c>
      <c r="C4" s="52" t="n">
        <f aca="false">original!E40</f>
        <v>400</v>
      </c>
    </row>
    <row r="5" customFormat="false" ht="21" hidden="false" customHeight="true" outlineLevel="0" collapsed="false">
      <c r="A5" s="70" t="s">
        <v>59</v>
      </c>
      <c r="B5" s="66" t="str">
        <f aca="false">original!D41</f>
        <v>COGS/Cost of Sales for Franchise</v>
      </c>
      <c r="C5" s="52" t="n">
        <f aca="false">original!E41</f>
        <v>400</v>
      </c>
    </row>
    <row r="6" customFormat="false" ht="21" hidden="false" customHeight="true" outlineLevel="0" collapsed="false">
      <c r="A6" s="70" t="s">
        <v>59</v>
      </c>
      <c r="B6" s="66" t="str">
        <f aca="false">original!D42</f>
        <v>COGS/Cost of Sales for Other</v>
      </c>
      <c r="C6" s="52" t="n">
        <f aca="false">original!E42</f>
        <v>400</v>
      </c>
    </row>
    <row r="7" customFormat="false" ht="21" hidden="false" customHeight="true" outlineLevel="0" collapsed="false">
      <c r="A7" s="70" t="s">
        <v>59</v>
      </c>
      <c r="B7" s="66" t="str">
        <f aca="false">original!D43</f>
        <v>Total COGS/Cost of Sales</v>
      </c>
      <c r="C7" s="52" t="n">
        <f aca="false">original!E43</f>
        <v>2000</v>
      </c>
    </row>
    <row r="8" customFormat="false" ht="21" hidden="false" customHeight="true" outlineLevel="0" collapsed="false">
      <c r="A8" s="70" t="s">
        <v>59</v>
      </c>
      <c r="B8" s="66" t="str">
        <f aca="false">original!D44</f>
        <v>Operating costs</v>
      </c>
      <c r="C8" s="52" t="n">
        <f aca="false">original!E44</f>
        <v>500</v>
      </c>
    </row>
    <row r="9" customFormat="false" ht="21" hidden="false" customHeight="true" outlineLevel="0" collapsed="false">
      <c r="A9" s="70" t="s">
        <v>59</v>
      </c>
      <c r="B9" s="66" t="str">
        <f aca="false">original!D45</f>
        <v>Direct Fixed costs(Assets+Development cost)</v>
      </c>
      <c r="C9" s="52" t="n">
        <f aca="false">original!E45</f>
        <v>5000</v>
      </c>
    </row>
    <row r="10" customFormat="false" ht="21" hidden="false" customHeight="true" outlineLevel="0" collapsed="false">
      <c r="A10" s="70" t="s">
        <v>59</v>
      </c>
      <c r="B10" s="66" t="str">
        <f aca="false">original!D46</f>
        <v>Other Cost(Name of Cost)</v>
      </c>
      <c r="C10" s="52" t="n">
        <f aca="false">original!E46</f>
        <v>1000</v>
      </c>
      <c r="D10" s="66"/>
    </row>
    <row r="11" customFormat="false" ht="21" hidden="false" customHeight="true" outlineLevel="0" collapsed="false">
      <c r="A11" s="70" t="s">
        <v>59</v>
      </c>
      <c r="B11" s="66" t="str">
        <f aca="false">original!D47</f>
        <v>Total Costs</v>
      </c>
      <c r="C11" s="52" t="n">
        <f aca="false">original!E47</f>
        <v>8500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3" activeCellId="0" sqref="B23"/>
    </sheetView>
  </sheetViews>
  <sheetFormatPr defaultColWidth="8.54296875" defaultRowHeight="15.75" zeroHeight="false" outlineLevelRow="0" outlineLevelCol="0"/>
  <cols>
    <col collapsed="false" customWidth="true" hidden="false" outlineLevel="0" max="1" min="1" style="63" width="53.45"/>
    <col collapsed="false" customWidth="true" hidden="false" outlineLevel="0" max="2" min="2" style="63" width="62.09"/>
    <col collapsed="false" customWidth="true" hidden="false" outlineLevel="0" max="3" min="3" style="63" width="11.23"/>
    <col collapsed="false" customWidth="true" hidden="false" outlineLevel="0" max="4" min="4" style="63" width="18.59"/>
    <col collapsed="false" customWidth="true" hidden="false" outlineLevel="0" max="5" min="5" style="63" width="21.85"/>
    <col collapsed="false" customWidth="true" hidden="false" outlineLevel="0" max="6" min="6" style="63" width="16.33"/>
    <col collapsed="false" customWidth="true" hidden="false" outlineLevel="0" max="7" min="7" style="63" width="23.09"/>
    <col collapsed="false" customWidth="true" hidden="false" outlineLevel="0" max="8" min="8" style="63" width="18.59"/>
    <col collapsed="false" customWidth="true" hidden="false" outlineLevel="0" max="9" min="9" style="63" width="21.65"/>
    <col collapsed="false" customWidth="true" hidden="false" outlineLevel="0" max="10" min="10" style="63" width="22.88"/>
    <col collapsed="false" customWidth="true" hidden="false" outlineLevel="0" max="11" min="11" style="63" width="27.98"/>
    <col collapsed="false" customWidth="true" hidden="false" outlineLevel="0" max="12" min="12" style="63" width="23.73"/>
    <col collapsed="false" customWidth="true" hidden="false" outlineLevel="0" max="13" min="13" style="63" width="24.09"/>
    <col collapsed="false" customWidth="false" hidden="false" outlineLevel="0" max="16382" min="14" style="63" width="8.54"/>
    <col collapsed="false" customWidth="true" hidden="false" outlineLevel="0" max="16384" min="16383" style="63" width="10.18"/>
  </cols>
  <sheetData>
    <row r="1" s="65" customFormat="true" ht="21" hidden="false" customHeight="true" outlineLevel="0" collapsed="false">
      <c r="A1" s="65" t="s">
        <v>232</v>
      </c>
      <c r="B1" s="65" t="s">
        <v>233</v>
      </c>
      <c r="C1" s="71" t="s">
        <v>237</v>
      </c>
      <c r="D1" s="71" t="s">
        <v>238</v>
      </c>
      <c r="E1" s="71" t="s">
        <v>239</v>
      </c>
      <c r="F1" s="71" t="s">
        <v>240</v>
      </c>
      <c r="G1" s="71" t="s">
        <v>241</v>
      </c>
      <c r="H1" s="71" t="s">
        <v>242</v>
      </c>
      <c r="I1" s="71" t="s">
        <v>243</v>
      </c>
      <c r="J1" s="71" t="s">
        <v>244</v>
      </c>
      <c r="K1" s="71" t="s">
        <v>245</v>
      </c>
      <c r="L1" s="71" t="s">
        <v>246</v>
      </c>
      <c r="M1" s="71" t="s">
        <v>247</v>
      </c>
    </row>
    <row r="2" customFormat="false" ht="21" hidden="false" customHeight="true" outlineLevel="0" collapsed="false">
      <c r="A2" s="72" t="s">
        <v>59</v>
      </c>
      <c r="B2" s="66" t="str">
        <f aca="false">original!D51</f>
        <v>Strength of idea/ Concept</v>
      </c>
      <c r="C2" s="73" t="n">
        <f aca="false">original!E51</f>
        <v>1</v>
      </c>
      <c r="D2" s="73" t="n">
        <f aca="false">original!F51</f>
        <v>5</v>
      </c>
      <c r="E2" s="73" t="n">
        <f aca="false">original!G51</f>
        <v>5</v>
      </c>
      <c r="F2" s="73" t="n">
        <f aca="false">original!H51</f>
        <v>0</v>
      </c>
      <c r="G2" s="73" t="n">
        <f aca="false">original!I51</f>
        <v>0</v>
      </c>
      <c r="H2" s="73" t="n">
        <f aca="false">original!J51</f>
        <v>0</v>
      </c>
      <c r="I2" s="73" t="n">
        <f aca="false">original!K51</f>
        <v>0</v>
      </c>
      <c r="J2" s="73" t="n">
        <f aca="false">original!L51</f>
        <v>5</v>
      </c>
      <c r="K2" s="73" t="n">
        <f aca="false">original!M51</f>
        <v>5</v>
      </c>
      <c r="L2" s="73" t="n">
        <f aca="false">original!N51</f>
        <v>5</v>
      </c>
      <c r="M2" s="73" t="n">
        <f aca="false">original!O51</f>
        <v>5</v>
      </c>
    </row>
    <row r="3" customFormat="false" ht="21" hidden="false" customHeight="true" outlineLevel="0" collapsed="false">
      <c r="A3" s="72" t="s">
        <v>59</v>
      </c>
      <c r="B3" s="66" t="str">
        <f aca="false">original!D52</f>
        <v>Prototype readiness for commercialisation</v>
      </c>
      <c r="C3" s="73" t="n">
        <f aca="false">original!E52</f>
        <v>2</v>
      </c>
      <c r="D3" s="73" t="n">
        <f aca="false">original!F52</f>
        <v>4</v>
      </c>
      <c r="E3" s="73" t="n">
        <f aca="false">original!G52</f>
        <v>8</v>
      </c>
      <c r="F3" s="73" t="n">
        <f aca="false">original!H52</f>
        <v>0</v>
      </c>
      <c r="G3" s="73" t="n">
        <f aca="false">original!I52</f>
        <v>0</v>
      </c>
      <c r="H3" s="73" t="n">
        <f aca="false">original!J52</f>
        <v>0</v>
      </c>
      <c r="I3" s="73" t="n">
        <f aca="false">original!K52</f>
        <v>0</v>
      </c>
      <c r="J3" s="73" t="n">
        <f aca="false">original!L52</f>
        <v>4</v>
      </c>
      <c r="K3" s="73" t="n">
        <f aca="false">original!M52</f>
        <v>8</v>
      </c>
      <c r="L3" s="73" t="n">
        <f aca="false">original!N52</f>
        <v>4</v>
      </c>
      <c r="M3" s="73" t="n">
        <f aca="false">original!O52</f>
        <v>8</v>
      </c>
    </row>
    <row r="4" customFormat="false" ht="21" hidden="false" customHeight="true" outlineLevel="0" collapsed="false">
      <c r="A4" s="72" t="s">
        <v>59</v>
      </c>
      <c r="B4" s="66" t="str">
        <f aca="false">original!D53</f>
        <v>Completion &amp; Quality of Piloting Scale </v>
      </c>
      <c r="C4" s="73" t="n">
        <f aca="false">original!E53</f>
        <v>3</v>
      </c>
      <c r="D4" s="73" t="n">
        <f aca="false">original!F53</f>
        <v>3</v>
      </c>
      <c r="E4" s="73" t="n">
        <f aca="false">original!G53</f>
        <v>9</v>
      </c>
      <c r="F4" s="73" t="n">
        <f aca="false">original!H53</f>
        <v>0</v>
      </c>
      <c r="G4" s="73" t="n">
        <f aca="false">original!I53</f>
        <v>0</v>
      </c>
      <c r="H4" s="73" t="n">
        <f aca="false">original!J53</f>
        <v>0</v>
      </c>
      <c r="I4" s="73" t="n">
        <f aca="false">original!K53</f>
        <v>0</v>
      </c>
      <c r="J4" s="73" t="n">
        <f aca="false">original!L53</f>
        <v>3</v>
      </c>
      <c r="K4" s="73" t="n">
        <f aca="false">original!M53</f>
        <v>9</v>
      </c>
      <c r="L4" s="73" t="n">
        <f aca="false">original!N53</f>
        <v>3</v>
      </c>
      <c r="M4" s="73" t="n">
        <f aca="false">original!O53</f>
        <v>9</v>
      </c>
    </row>
    <row r="5" customFormat="false" ht="21" hidden="false" customHeight="true" outlineLevel="0" collapsed="false">
      <c r="A5" s="72" t="s">
        <v>59</v>
      </c>
      <c r="B5" s="66" t="str">
        <f aca="false">original!D54</f>
        <v>IP Protection Strength </v>
      </c>
      <c r="C5" s="73" t="n">
        <f aca="false">original!E54</f>
        <v>5</v>
      </c>
      <c r="D5" s="73" t="n">
        <f aca="false">original!F54</f>
        <v>5</v>
      </c>
      <c r="E5" s="73" t="n">
        <f aca="false">original!G54</f>
        <v>25</v>
      </c>
      <c r="F5" s="73" t="n">
        <f aca="false">original!H54</f>
        <v>0</v>
      </c>
      <c r="G5" s="73" t="n">
        <f aca="false">original!I54</f>
        <v>0</v>
      </c>
      <c r="H5" s="73" t="n">
        <f aca="false">original!J54</f>
        <v>0</v>
      </c>
      <c r="I5" s="73" t="n">
        <f aca="false">original!K54</f>
        <v>0</v>
      </c>
      <c r="J5" s="73" t="n">
        <f aca="false">original!L54</f>
        <v>5</v>
      </c>
      <c r="K5" s="73" t="n">
        <f aca="false">original!M54</f>
        <v>25</v>
      </c>
      <c r="L5" s="73" t="n">
        <f aca="false">original!N54</f>
        <v>5</v>
      </c>
      <c r="M5" s="73" t="n">
        <f aca="false">original!O54</f>
        <v>25</v>
      </c>
    </row>
    <row r="6" customFormat="false" ht="21" hidden="false" customHeight="true" outlineLevel="0" collapsed="false">
      <c r="A6" s="72" t="s">
        <v>59</v>
      </c>
      <c r="B6" s="66" t="str">
        <f aca="false">original!D55</f>
        <v>Branding Readiness </v>
      </c>
      <c r="C6" s="73" t="n">
        <f aca="false">original!E55</f>
        <v>5</v>
      </c>
      <c r="D6" s="73" t="n">
        <f aca="false">original!F55</f>
        <v>2</v>
      </c>
      <c r="E6" s="73" t="n">
        <f aca="false">original!G55</f>
        <v>10</v>
      </c>
      <c r="F6" s="73" t="n">
        <f aca="false">original!H55</f>
        <v>0</v>
      </c>
      <c r="G6" s="73" t="n">
        <f aca="false">original!I55</f>
        <v>0</v>
      </c>
      <c r="H6" s="73" t="n">
        <f aca="false">original!J55</f>
        <v>0</v>
      </c>
      <c r="I6" s="73" t="n">
        <f aca="false">original!K55</f>
        <v>0</v>
      </c>
      <c r="J6" s="73" t="n">
        <f aca="false">original!L55</f>
        <v>2</v>
      </c>
      <c r="K6" s="73" t="n">
        <f aca="false">original!M55</f>
        <v>10</v>
      </c>
      <c r="L6" s="73" t="n">
        <f aca="false">original!N55</f>
        <v>2</v>
      </c>
      <c r="M6" s="73" t="n">
        <f aca="false">original!O55</f>
        <v>10</v>
      </c>
    </row>
    <row r="7" customFormat="false" ht="21" hidden="false" customHeight="true" outlineLevel="0" collapsed="false">
      <c r="A7" s="72" t="s">
        <v>59</v>
      </c>
      <c r="B7" s="66" t="str">
        <f aca="false">original!D56</f>
        <v>Commercialisation Readiness</v>
      </c>
      <c r="C7" s="73" t="n">
        <f aca="false">original!E56</f>
        <v>10</v>
      </c>
      <c r="D7" s="73" t="n">
        <f aca="false">original!F56</f>
        <v>5</v>
      </c>
      <c r="E7" s="73" t="n">
        <f aca="false">original!G56</f>
        <v>50</v>
      </c>
      <c r="F7" s="73" t="n">
        <f aca="false">original!H56</f>
        <v>0</v>
      </c>
      <c r="G7" s="73" t="n">
        <f aca="false">original!I56</f>
        <v>0</v>
      </c>
      <c r="H7" s="73" t="n">
        <f aca="false">original!J56</f>
        <v>0</v>
      </c>
      <c r="I7" s="73" t="n">
        <f aca="false">original!K56</f>
        <v>0</v>
      </c>
      <c r="J7" s="73" t="n">
        <f aca="false">original!L56</f>
        <v>5</v>
      </c>
      <c r="K7" s="73" t="n">
        <f aca="false">original!M56</f>
        <v>50</v>
      </c>
      <c r="L7" s="73" t="n">
        <f aca="false">original!N56</f>
        <v>5</v>
      </c>
      <c r="M7" s="73" t="n">
        <f aca="false">original!O56</f>
        <v>50</v>
      </c>
    </row>
    <row r="8" customFormat="false" ht="21" hidden="false" customHeight="true" outlineLevel="0" collapsed="false">
      <c r="A8" s="72" t="s">
        <v>59</v>
      </c>
      <c r="B8" s="66" t="str">
        <f aca="false">original!D57</f>
        <v>Exclusivity (0 score no Execlusivity &amp; 5 Full Execlusivity) </v>
      </c>
      <c r="C8" s="73" t="n">
        <f aca="false">original!E57</f>
        <v>100</v>
      </c>
      <c r="D8" s="73" t="n">
        <f aca="false">original!F57</f>
        <v>0</v>
      </c>
      <c r="E8" s="73" t="n">
        <f aca="false">original!G57</f>
        <v>0</v>
      </c>
      <c r="F8" s="73" t="n">
        <f aca="false">original!H57</f>
        <v>0</v>
      </c>
      <c r="G8" s="73" t="n">
        <f aca="false">original!I57</f>
        <v>0</v>
      </c>
      <c r="H8" s="73" t="n">
        <f aca="false">original!J57</f>
        <v>0</v>
      </c>
      <c r="I8" s="73" t="n">
        <f aca="false">original!K57</f>
        <v>0</v>
      </c>
      <c r="J8" s="73" t="n">
        <f aca="false">original!L57</f>
        <v>5</v>
      </c>
      <c r="K8" s="73" t="n">
        <f aca="false">original!M57</f>
        <v>500</v>
      </c>
      <c r="L8" s="73" t="n">
        <f aca="false">original!N57</f>
        <v>0</v>
      </c>
      <c r="M8" s="73" t="n">
        <f aca="false">original!O57</f>
        <v>0</v>
      </c>
    </row>
    <row r="9" customFormat="false" ht="21" hidden="false" customHeight="true" outlineLevel="0" collapsed="false">
      <c r="A9" s="72" t="s">
        <v>59</v>
      </c>
      <c r="B9" s="66" t="str">
        <f aca="false">original!D58</f>
        <v>Total score = </v>
      </c>
      <c r="C9" s="73" t="n">
        <f aca="false">original!E58</f>
        <v>0</v>
      </c>
      <c r="D9" s="73" t="n">
        <f aca="false">original!F58</f>
        <v>24</v>
      </c>
      <c r="E9" s="73" t="n">
        <f aca="false">original!G58</f>
        <v>0</v>
      </c>
      <c r="F9" s="73" t="n">
        <f aca="false">original!H58</f>
        <v>0</v>
      </c>
      <c r="G9" s="73" t="n">
        <f aca="false">original!I58</f>
        <v>0</v>
      </c>
      <c r="H9" s="73" t="n">
        <f aca="false">original!J58</f>
        <v>0</v>
      </c>
      <c r="I9" s="73" t="n">
        <f aca="false">original!K58</f>
        <v>0</v>
      </c>
      <c r="J9" s="73" t="n">
        <f aca="false">original!L58</f>
        <v>29</v>
      </c>
      <c r="K9" s="73" t="n">
        <f aca="false">original!M58</f>
        <v>0</v>
      </c>
      <c r="L9" s="73" t="n">
        <f aca="false">original!N58</f>
        <v>24</v>
      </c>
      <c r="M9" s="73" t="n">
        <f aca="false">original!O58</f>
        <v>0</v>
      </c>
    </row>
    <row r="10" customFormat="false" ht="21" hidden="false" customHeight="true" outlineLevel="0" collapsed="false">
      <c r="A10" s="72" t="s">
        <v>59</v>
      </c>
      <c r="B10" s="66" t="str">
        <f aca="false">original!D59</f>
        <v>Total Charges =</v>
      </c>
      <c r="C10" s="73" t="n">
        <f aca="false">original!E59</f>
        <v>0</v>
      </c>
      <c r="D10" s="73" t="n">
        <f aca="false">original!F59</f>
        <v>0</v>
      </c>
      <c r="E10" s="73" t="n">
        <f aca="false">original!G59</f>
        <v>107</v>
      </c>
      <c r="F10" s="73" t="n">
        <f aca="false">original!H59</f>
        <v>0</v>
      </c>
      <c r="G10" s="73" t="n">
        <f aca="false">original!I59</f>
        <v>0</v>
      </c>
      <c r="H10" s="73" t="n">
        <f aca="false">original!J59</f>
        <v>0</v>
      </c>
      <c r="I10" s="73" t="n">
        <f aca="false">original!K59</f>
        <v>0</v>
      </c>
      <c r="J10" s="73" t="n">
        <f aca="false">original!L59</f>
        <v>0</v>
      </c>
      <c r="K10" s="73" t="n">
        <f aca="false">original!M59</f>
        <v>607</v>
      </c>
      <c r="L10" s="73" t="n">
        <f aca="false">original!N59</f>
        <v>0</v>
      </c>
      <c r="M10" s="73" t="n">
        <f aca="false">original!O59</f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19" activeCellId="0" sqref="E19"/>
    </sheetView>
  </sheetViews>
  <sheetFormatPr defaultColWidth="8.54296875" defaultRowHeight="18" zeroHeight="false" outlineLevelRow="0" outlineLevelCol="0"/>
  <cols>
    <col collapsed="false" customWidth="true" hidden="false" outlineLevel="0" max="1" min="1" style="74" width="42.45"/>
    <col collapsed="false" customWidth="true" hidden="false" outlineLevel="0" max="2" min="2" style="74" width="82.73"/>
    <col collapsed="false" customWidth="true" hidden="false" outlineLevel="0" max="3" min="3" style="74" width="19.64"/>
    <col collapsed="false" customWidth="true" hidden="false" outlineLevel="0" max="4" min="4" style="74" width="25.54"/>
    <col collapsed="false" customWidth="true" hidden="false" outlineLevel="0" max="5" min="5" style="74" width="26.73"/>
    <col collapsed="false" customWidth="true" hidden="false" outlineLevel="0" max="6" min="6" style="74" width="34.31"/>
    <col collapsed="false" customWidth="false" hidden="false" outlineLevel="0" max="16383" min="8" style="74" width="8.54"/>
    <col collapsed="false" customWidth="true" hidden="false" outlineLevel="0" max="16384" min="16384" style="74" width="10.16"/>
  </cols>
  <sheetData>
    <row r="1" s="77" customFormat="true" ht="45.75" hidden="false" customHeight="true" outlineLevel="0" collapsed="false">
      <c r="A1" s="75" t="s">
        <v>232</v>
      </c>
      <c r="B1" s="76" t="s">
        <v>233</v>
      </c>
      <c r="C1" s="76" t="s">
        <v>248</v>
      </c>
      <c r="D1" s="76" t="s">
        <v>249</v>
      </c>
      <c r="E1" s="76" t="s">
        <v>250</v>
      </c>
      <c r="F1" s="76" t="s">
        <v>251</v>
      </c>
      <c r="G1" s="1"/>
    </row>
    <row r="2" customFormat="false" ht="21" hidden="false" customHeight="true" outlineLevel="0" collapsed="false">
      <c r="A2" s="78" t="s">
        <v>214</v>
      </c>
      <c r="B2" s="79" t="str">
        <f aca="false">original!D61</f>
        <v>Royalty</v>
      </c>
      <c r="C2" s="52" t="n">
        <f aca="false">original!E61</f>
        <v>1000</v>
      </c>
      <c r="D2" s="52" t="n">
        <f aca="false">original!F61</f>
        <v>400</v>
      </c>
      <c r="E2" s="52" t="n">
        <f aca="false">original!G61</f>
        <v>600</v>
      </c>
      <c r="F2" s="61" t="n">
        <f aca="false">original!H61</f>
        <v>0.6</v>
      </c>
    </row>
    <row r="3" customFormat="false" ht="21" hidden="false" customHeight="true" outlineLevel="0" collapsed="false">
      <c r="A3" s="78" t="s">
        <v>214</v>
      </c>
      <c r="B3" s="79" t="str">
        <f aca="false">original!D62</f>
        <v>Fees</v>
      </c>
      <c r="C3" s="52" t="n">
        <f aca="false">original!E62</f>
        <v>1000</v>
      </c>
      <c r="D3" s="52" t="n">
        <f aca="false">original!F62</f>
        <v>400</v>
      </c>
      <c r="E3" s="52" t="n">
        <f aca="false">original!G62</f>
        <v>600</v>
      </c>
      <c r="F3" s="61" t="n">
        <f aca="false">original!H62</f>
        <v>0.6</v>
      </c>
    </row>
    <row r="4" customFormat="false" ht="21" hidden="false" customHeight="true" outlineLevel="0" collapsed="false">
      <c r="A4" s="78" t="s">
        <v>214</v>
      </c>
      <c r="B4" s="79" t="str">
        <f aca="false">original!D63</f>
        <v>spinoff</v>
      </c>
      <c r="C4" s="52" t="n">
        <f aca="false">original!E63</f>
        <v>1000</v>
      </c>
      <c r="D4" s="52" t="n">
        <f aca="false">original!F63</f>
        <v>400</v>
      </c>
      <c r="E4" s="52" t="n">
        <f aca="false">original!G63</f>
        <v>600</v>
      </c>
      <c r="F4" s="61" t="n">
        <f aca="false">original!H63</f>
        <v>0.6</v>
      </c>
    </row>
    <row r="5" customFormat="false" ht="21" hidden="false" customHeight="true" outlineLevel="0" collapsed="false">
      <c r="A5" s="78" t="s">
        <v>214</v>
      </c>
      <c r="B5" s="79" t="str">
        <f aca="false">original!D64</f>
        <v>Franchise</v>
      </c>
      <c r="C5" s="52" t="n">
        <f aca="false">original!E64</f>
        <v>1000</v>
      </c>
      <c r="D5" s="52" t="n">
        <f aca="false">original!F64</f>
        <v>400</v>
      </c>
      <c r="E5" s="52" t="n">
        <f aca="false">original!G64</f>
        <v>600</v>
      </c>
      <c r="F5" s="61" t="n">
        <f aca="false">original!H64</f>
        <v>0.6</v>
      </c>
    </row>
    <row r="6" customFormat="false" ht="21" hidden="false" customHeight="true" outlineLevel="0" collapsed="false">
      <c r="A6" s="78" t="s">
        <v>214</v>
      </c>
      <c r="B6" s="79" t="str">
        <f aca="false">original!D65</f>
        <v>Other</v>
      </c>
      <c r="C6" s="52" t="n">
        <f aca="false">original!E65</f>
        <v>1000</v>
      </c>
      <c r="D6" s="52" t="n">
        <f aca="false">original!F65</f>
        <v>400</v>
      </c>
      <c r="E6" s="52" t="n">
        <f aca="false">original!G65</f>
        <v>600</v>
      </c>
      <c r="F6" s="61" t="n">
        <f aca="false">original!H65</f>
        <v>0.6</v>
      </c>
    </row>
    <row r="7" customFormat="false" ht="21" hidden="false" customHeight="true" outlineLevel="0" collapsed="false">
      <c r="A7" s="80" t="s">
        <v>214</v>
      </c>
      <c r="B7" s="81" t="str">
        <f aca="false">original!D66</f>
        <v>Total</v>
      </c>
      <c r="C7" s="82" t="n">
        <f aca="false">original!E66</f>
        <v>5000</v>
      </c>
      <c r="D7" s="82" t="n">
        <f aca="false">original!F66</f>
        <v>2000</v>
      </c>
      <c r="E7" s="82" t="n">
        <f aca="false">original!G66</f>
        <v>3000</v>
      </c>
      <c r="F7" s="83" t="n">
        <f aca="false">original!H66</f>
        <v>0.6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20" activeCellId="0" sqref="C20"/>
    </sheetView>
  </sheetViews>
  <sheetFormatPr defaultColWidth="8.54296875" defaultRowHeight="18" zeroHeight="false" outlineLevelRow="0" outlineLevelCol="0"/>
  <cols>
    <col collapsed="false" customWidth="false" hidden="false" outlineLevel="0" max="1" min="1" style="74" width="8.54"/>
    <col collapsed="false" customWidth="true" hidden="false" outlineLevel="0" max="2" min="2" style="74" width="42.45"/>
    <col collapsed="false" customWidth="true" hidden="false" outlineLevel="0" max="3" min="3" style="74" width="82.73"/>
    <col collapsed="false" customWidth="true" hidden="false" outlineLevel="0" max="4" min="4" style="74" width="19.64"/>
    <col collapsed="false" customWidth="false" hidden="false" outlineLevel="0" max="16384" min="5" style="74" width="8.54"/>
  </cols>
  <sheetData>
    <row r="1" customFormat="false" ht="21" hidden="false" customHeight="true" outlineLevel="0" collapsed="false">
      <c r="B1" s="78" t="s">
        <v>214</v>
      </c>
      <c r="C1" s="79" t="str">
        <f aca="false">original!D67</f>
        <v>Total Annual Revenue( from revenue streams value from canvas)</v>
      </c>
      <c r="D1" s="52" t="n">
        <f aca="false">original!E67</f>
        <v>5000</v>
      </c>
    </row>
    <row r="2" customFormat="false" ht="21" hidden="false" customHeight="true" outlineLevel="0" collapsed="false">
      <c r="B2" s="78" t="s">
        <v>214</v>
      </c>
      <c r="C2" s="79" t="str">
        <f aca="false">original!D68</f>
        <v>COGS/Cost of Sales(from cogs/costs of sales value from canvas)</v>
      </c>
      <c r="D2" s="52" t="n">
        <f aca="false">original!E68</f>
        <v>2000</v>
      </c>
    </row>
    <row r="3" customFormat="false" ht="21" hidden="false" customHeight="true" outlineLevel="0" collapsed="false">
      <c r="B3" s="78" t="s">
        <v>214</v>
      </c>
      <c r="C3" s="79" t="str">
        <f aca="false">original!D69</f>
        <v>Gross Profit(value in OMR)</v>
      </c>
      <c r="D3" s="52" t="n">
        <f aca="false">original!E69</f>
        <v>3000</v>
      </c>
    </row>
    <row r="4" customFormat="false" ht="21" hidden="false" customHeight="true" outlineLevel="0" collapsed="false">
      <c r="B4" s="78" t="s">
        <v>214</v>
      </c>
      <c r="C4" s="79" t="str">
        <f aca="false">original!D70</f>
        <v>Gross Profit (in %)</v>
      </c>
      <c r="D4" s="61" t="n">
        <f aca="false">original!E70</f>
        <v>0.6</v>
      </c>
    </row>
    <row r="5" customFormat="false" ht="21" hidden="false" customHeight="true" outlineLevel="0" collapsed="false">
      <c r="B5" s="78" t="s">
        <v>214</v>
      </c>
      <c r="C5" s="79" t="str">
        <f aca="false">original!D71</f>
        <v>Operating Costs(from total costs value from canvas)</v>
      </c>
      <c r="D5" s="52" t="n">
        <f aca="false">original!E71</f>
        <v>500</v>
      </c>
    </row>
    <row r="6" customFormat="false" ht="21" hidden="false" customHeight="true" outlineLevel="0" collapsed="false">
      <c r="B6" s="78" t="s">
        <v>214</v>
      </c>
      <c r="C6" s="79" t="str">
        <f aca="false">original!D72</f>
        <v>Net Profit(value in OMR)</v>
      </c>
      <c r="D6" s="52" t="n">
        <f aca="false">original!E72</f>
        <v>2500</v>
      </c>
    </row>
    <row r="7" customFormat="false" ht="21" hidden="false" customHeight="true" outlineLevel="0" collapsed="false">
      <c r="B7" s="78" t="s">
        <v>214</v>
      </c>
      <c r="C7" s="79" t="str">
        <f aca="false">original!D73</f>
        <v>Gross Profit (in %)</v>
      </c>
      <c r="D7" s="61" t="n">
        <f aca="false">original!E73</f>
        <v>0.5</v>
      </c>
    </row>
    <row r="8" customFormat="false" ht="18" hidden="false" customHeight="false" outlineLevel="0" collapsed="false">
      <c r="B8" s="78" t="s">
        <v>214</v>
      </c>
      <c r="C8" s="79" t="str">
        <f aca="false">original!D74</f>
        <v>Direct Fixed+ Other costs</v>
      </c>
      <c r="D8" s="52" t="n">
        <f aca="false">original!E74</f>
        <v>6000</v>
      </c>
    </row>
    <row r="9" customFormat="false" ht="18" hidden="false" customHeight="false" outlineLevel="0" collapsed="false">
      <c r="B9" s="78" t="s">
        <v>214</v>
      </c>
      <c r="C9" s="79" t="str">
        <f aca="false">original!D75</f>
        <v>Return on Investment =(net profit-investment)/investment*100</v>
      </c>
      <c r="D9" s="61" t="n">
        <f aca="false">original!E75</f>
        <v>0.416666666666667</v>
      </c>
    </row>
    <row r="10" customFormat="false" ht="18" hidden="false" customHeight="false" outlineLevel="0" collapsed="false">
      <c r="B10" s="78" t="s">
        <v>214</v>
      </c>
      <c r="C10" s="79" t="str">
        <f aca="false">original!D76</f>
        <v>Pay-Back period (in years)</v>
      </c>
      <c r="D10" s="62" t="n">
        <f aca="false">original!E76</f>
        <v>2.4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4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J3" activeCellId="0" sqref="J3"/>
    </sheetView>
  </sheetViews>
  <sheetFormatPr defaultColWidth="8.63671875" defaultRowHeight="14.25" zeroHeight="false" outlineLevelRow="0" outlineLevelCol="0"/>
  <cols>
    <col collapsed="false" customWidth="true" hidden="false" outlineLevel="0" max="2" min="2" style="1" width="48.45"/>
    <col collapsed="false" customWidth="true" hidden="false" outlineLevel="0" max="3" min="3" style="1" width="11.54"/>
    <col collapsed="false" customWidth="true" hidden="false" outlineLevel="0" max="8" min="8" style="1" width="41.45"/>
    <col collapsed="false" customWidth="true" hidden="false" outlineLevel="0" max="10" min="10" style="1" width="9.45"/>
    <col collapsed="false" customWidth="true" hidden="false" outlineLevel="0" max="14" min="14" style="1" width="18.45"/>
    <col collapsed="false" customWidth="true" hidden="false" outlineLevel="0" max="15" min="15" style="1" width="11.27"/>
    <col collapsed="false" customWidth="true" hidden="false" outlineLevel="0" max="16" min="16" style="1" width="4.82"/>
    <col collapsed="false" customWidth="true" hidden="false" outlineLevel="0" max="17" min="17" style="1" width="22.54"/>
    <col collapsed="false" customWidth="true" hidden="false" outlineLevel="0" max="18" min="18" style="1" width="11.18"/>
    <col collapsed="false" customWidth="true" hidden="false" outlineLevel="0" max="19" min="19" style="1" width="11.27"/>
  </cols>
  <sheetData>
    <row r="1" customFormat="false" ht="14.25" hidden="false" customHeight="false" outlineLevel="0" collapsed="false">
      <c r="C1" s="41" t="s">
        <v>252</v>
      </c>
      <c r="D1" s="84" t="s">
        <v>253</v>
      </c>
      <c r="E1" s="84"/>
      <c r="F1" s="84"/>
      <c r="G1" s="84"/>
      <c r="H1" s="84"/>
      <c r="I1" s="84"/>
      <c r="M1" s="45" t="s">
        <v>254</v>
      </c>
      <c r="N1" s="45"/>
      <c r="O1" s="45"/>
      <c r="Q1" s="45" t="s">
        <v>1</v>
      </c>
      <c r="R1" s="45"/>
      <c r="S1" s="45"/>
    </row>
    <row r="2" customFormat="false" ht="14.25" hidden="false" customHeight="false" outlineLevel="0" collapsed="false">
      <c r="B2" s="39" t="s">
        <v>255</v>
      </c>
      <c r="C2" s="41"/>
      <c r="D2" s="41" t="n">
        <v>0</v>
      </c>
      <c r="E2" s="41" t="n">
        <v>1</v>
      </c>
      <c r="F2" s="41" t="n">
        <v>2</v>
      </c>
      <c r="G2" s="41" t="n">
        <v>3</v>
      </c>
      <c r="H2" s="41" t="n">
        <v>4</v>
      </c>
      <c r="I2" s="41" t="n">
        <v>5</v>
      </c>
      <c r="J2" s="41" t="s">
        <v>254</v>
      </c>
      <c r="K2" s="41" t="s">
        <v>1</v>
      </c>
      <c r="M2" s="41" t="s">
        <v>256</v>
      </c>
      <c r="N2" s="41" t="s">
        <v>257</v>
      </c>
      <c r="O2" s="41" t="s">
        <v>258</v>
      </c>
      <c r="Q2" s="41" t="s">
        <v>256</v>
      </c>
      <c r="R2" s="41" t="s">
        <v>257</v>
      </c>
      <c r="S2" s="41" t="s">
        <v>258</v>
      </c>
    </row>
    <row r="3" customFormat="false" ht="16.4" hidden="false" customHeight="false" outlineLevel="0" collapsed="false">
      <c r="B3" s="41" t="s">
        <v>9</v>
      </c>
      <c r="C3" s="41" t="n">
        <v>5</v>
      </c>
      <c r="D3" s="85"/>
      <c r="E3" s="85"/>
      <c r="F3" s="85"/>
      <c r="G3" s="85"/>
      <c r="H3" s="85"/>
      <c r="I3" s="85" t="n">
        <f aca="false">I2*C3</f>
        <v>25</v>
      </c>
      <c r="J3" s="60" t="n">
        <f aca="false">K3/C3</f>
        <v>5</v>
      </c>
      <c r="K3" s="52" t="n">
        <f aca="false">SUM(D3:I3)</f>
        <v>25</v>
      </c>
      <c r="M3" s="41" t="n">
        <v>5</v>
      </c>
      <c r="N3" s="41" t="n">
        <v>5</v>
      </c>
      <c r="O3" s="41" t="n">
        <v>1</v>
      </c>
      <c r="Q3" s="41" t="n">
        <f aca="false">C3*M3</f>
        <v>25</v>
      </c>
      <c r="R3" s="41" t="n">
        <f aca="false">C3*N3</f>
        <v>25</v>
      </c>
      <c r="S3" s="41" t="n">
        <f aca="false">C3*O3</f>
        <v>5</v>
      </c>
    </row>
    <row r="4" customFormat="false" ht="16.4" hidden="false" customHeight="false" outlineLevel="0" collapsed="false">
      <c r="B4" s="41" t="s">
        <v>11</v>
      </c>
      <c r="C4" s="41" t="n">
        <v>10</v>
      </c>
      <c r="D4" s="85"/>
      <c r="E4" s="85"/>
      <c r="F4" s="85" t="n">
        <f aca="false">C4*F2</f>
        <v>20</v>
      </c>
      <c r="G4" s="85"/>
      <c r="H4" s="85"/>
      <c r="I4" s="85"/>
      <c r="J4" s="60" t="n">
        <f aca="false">K4/C4</f>
        <v>2</v>
      </c>
      <c r="K4" s="52" t="n">
        <f aca="false">SUM(D4:I4)</f>
        <v>20</v>
      </c>
      <c r="M4" s="41" t="n">
        <v>4</v>
      </c>
      <c r="N4" s="41" t="n">
        <v>4</v>
      </c>
      <c r="O4" s="41" t="n">
        <v>4</v>
      </c>
      <c r="Q4" s="41" t="n">
        <f aca="false">C4*M4</f>
        <v>40</v>
      </c>
      <c r="R4" s="41" t="n">
        <f aca="false">C4*N4</f>
        <v>40</v>
      </c>
      <c r="S4" s="41" t="n">
        <f aca="false">C4*O4</f>
        <v>40</v>
      </c>
    </row>
    <row r="5" customFormat="false" ht="16.4" hidden="false" customHeight="false" outlineLevel="0" collapsed="false">
      <c r="B5" s="41" t="s">
        <v>13</v>
      </c>
      <c r="C5" s="41" t="n">
        <v>100</v>
      </c>
      <c r="D5" s="85"/>
      <c r="E5" s="85"/>
      <c r="F5" s="85"/>
      <c r="G5" s="85" t="n">
        <f aca="false">C5*G2</f>
        <v>300</v>
      </c>
      <c r="H5" s="85"/>
      <c r="I5" s="85"/>
      <c r="J5" s="60" t="n">
        <f aca="false">K5/C5</f>
        <v>3</v>
      </c>
      <c r="K5" s="52" t="n">
        <f aca="false">SUM(D5:I5)</f>
        <v>300</v>
      </c>
      <c r="M5" s="41" t="n">
        <v>4</v>
      </c>
      <c r="N5" s="41" t="n">
        <v>4</v>
      </c>
      <c r="O5" s="41" t="n">
        <v>4</v>
      </c>
      <c r="Q5" s="41" t="n">
        <f aca="false">C5*M5</f>
        <v>400</v>
      </c>
      <c r="R5" s="41" t="n">
        <f aca="false">C5*N5</f>
        <v>400</v>
      </c>
      <c r="S5" s="41" t="n">
        <f aca="false">C5*O5</f>
        <v>400</v>
      </c>
    </row>
    <row r="6" customFormat="false" ht="16.4" hidden="false" customHeight="false" outlineLevel="0" collapsed="false">
      <c r="B6" s="41" t="s">
        <v>259</v>
      </c>
      <c r="C6" s="41" t="n">
        <v>100</v>
      </c>
      <c r="D6" s="85"/>
      <c r="E6" s="85"/>
      <c r="F6" s="85"/>
      <c r="G6" s="85"/>
      <c r="H6" s="85" t="n">
        <f aca="false">C6*H2</f>
        <v>400</v>
      </c>
      <c r="I6" s="85"/>
      <c r="J6" s="60" t="n">
        <f aca="false">K6/C6</f>
        <v>4</v>
      </c>
      <c r="K6" s="52" t="n">
        <f aca="false">SUM(D6:I6)</f>
        <v>400</v>
      </c>
      <c r="M6" s="41" t="n">
        <v>0</v>
      </c>
      <c r="N6" s="41" t="n">
        <v>0</v>
      </c>
      <c r="O6" s="41" t="n">
        <v>0</v>
      </c>
      <c r="Q6" s="41" t="n">
        <f aca="false">C6*M6</f>
        <v>0</v>
      </c>
      <c r="R6" s="41" t="n">
        <f aca="false">C6*N6</f>
        <v>0</v>
      </c>
      <c r="S6" s="41" t="n">
        <f aca="false">C6*O6</f>
        <v>0</v>
      </c>
    </row>
    <row r="7" customFormat="false" ht="16.4" hidden="false" customHeight="false" outlineLevel="0" collapsed="false">
      <c r="B7" s="41" t="s">
        <v>17</v>
      </c>
      <c r="C7" s="41" t="n">
        <v>100</v>
      </c>
      <c r="D7" s="85"/>
      <c r="E7" s="85"/>
      <c r="F7" s="85"/>
      <c r="G7" s="85"/>
      <c r="H7" s="85"/>
      <c r="I7" s="85" t="n">
        <f aca="false">C7*I2</f>
        <v>500</v>
      </c>
      <c r="J7" s="60" t="n">
        <f aca="false">K7/C7</f>
        <v>5</v>
      </c>
      <c r="K7" s="52" t="n">
        <f aca="false">SUM(D7:I7)</f>
        <v>500</v>
      </c>
      <c r="M7" s="41" t="n">
        <v>4</v>
      </c>
      <c r="N7" s="41" t="n">
        <v>4</v>
      </c>
      <c r="O7" s="41" t="n">
        <v>2</v>
      </c>
      <c r="Q7" s="41" t="n">
        <f aca="false">C7*M7</f>
        <v>400</v>
      </c>
      <c r="R7" s="41" t="n">
        <f aca="false">C7*N7</f>
        <v>400</v>
      </c>
      <c r="S7" s="41" t="n">
        <f aca="false">C7*O7</f>
        <v>200</v>
      </c>
    </row>
    <row r="8" customFormat="false" ht="16.4" hidden="false" customHeight="false" outlineLevel="0" collapsed="false">
      <c r="B8" s="41" t="s">
        <v>19</v>
      </c>
      <c r="C8" s="41" t="n">
        <v>100</v>
      </c>
      <c r="D8" s="85"/>
      <c r="E8" s="85"/>
      <c r="F8" s="85" t="n">
        <f aca="false">C8*F2</f>
        <v>200</v>
      </c>
      <c r="G8" s="85"/>
      <c r="H8" s="85"/>
      <c r="I8" s="85"/>
      <c r="J8" s="60" t="n">
        <f aca="false">K8/C8</f>
        <v>2</v>
      </c>
      <c r="K8" s="52" t="n">
        <f aca="false">SUM(D8:I8)</f>
        <v>200</v>
      </c>
      <c r="M8" s="41" t="n">
        <v>4</v>
      </c>
      <c r="N8" s="41" t="n">
        <v>5</v>
      </c>
      <c r="O8" s="41" t="n">
        <v>2</v>
      </c>
      <c r="Q8" s="41" t="n">
        <f aca="false">C8*M8</f>
        <v>400</v>
      </c>
      <c r="R8" s="41" t="n">
        <f aca="false">C8*N8</f>
        <v>500</v>
      </c>
      <c r="S8" s="41" t="n">
        <f aca="false">C8*O8</f>
        <v>200</v>
      </c>
    </row>
    <row r="9" customFormat="false" ht="16.4" hidden="false" customHeight="false" outlineLevel="0" collapsed="false">
      <c r="B9" s="41" t="s">
        <v>20</v>
      </c>
      <c r="C9" s="41" t="n">
        <v>100</v>
      </c>
      <c r="D9" s="85"/>
      <c r="E9" s="85"/>
      <c r="F9" s="85"/>
      <c r="G9" s="85" t="n">
        <f aca="false">C9*G2</f>
        <v>300</v>
      </c>
      <c r="H9" s="85"/>
      <c r="I9" s="85"/>
      <c r="J9" s="60" t="n">
        <f aca="false">K9/C9</f>
        <v>3</v>
      </c>
      <c r="K9" s="52" t="n">
        <f aca="false">SUM(D9:I9)</f>
        <v>300</v>
      </c>
      <c r="M9" s="41" t="n">
        <v>4</v>
      </c>
      <c r="N9" s="41" t="n">
        <v>5</v>
      </c>
      <c r="O9" s="41" t="n">
        <v>2</v>
      </c>
      <c r="Q9" s="41" t="n">
        <f aca="false">C9*M9</f>
        <v>400</v>
      </c>
      <c r="R9" s="41" t="n">
        <f aca="false">C9*N9</f>
        <v>500</v>
      </c>
      <c r="S9" s="41" t="n">
        <f aca="false">C9*O9</f>
        <v>200</v>
      </c>
    </row>
    <row r="10" customFormat="false" ht="16.4" hidden="false" customHeight="false" outlineLevel="0" collapsed="false">
      <c r="B10" s="41" t="s">
        <v>22</v>
      </c>
      <c r="C10" s="41" t="n">
        <v>1000</v>
      </c>
      <c r="D10" s="85"/>
      <c r="E10" s="85"/>
      <c r="F10" s="85"/>
      <c r="G10" s="85"/>
      <c r="H10" s="85" t="n">
        <f aca="false">C10*H2</f>
        <v>4000</v>
      </c>
      <c r="I10" s="85"/>
      <c r="J10" s="60" t="n">
        <f aca="false">K10/C10</f>
        <v>4</v>
      </c>
      <c r="K10" s="52" t="n">
        <f aca="false">SUM(D10:I10)</f>
        <v>4000</v>
      </c>
      <c r="M10" s="41" t="n">
        <v>0</v>
      </c>
      <c r="N10" s="41" t="n">
        <v>0</v>
      </c>
      <c r="O10" s="41"/>
      <c r="Q10" s="41" t="n">
        <f aca="false">C10*M10</f>
        <v>0</v>
      </c>
      <c r="R10" s="41" t="n">
        <f aca="false">IF(N10=0,0,C10*(5-N10+1))</f>
        <v>0</v>
      </c>
      <c r="S10" s="41" t="n">
        <f aca="false">C10*O10</f>
        <v>0</v>
      </c>
    </row>
    <row r="11" customFormat="false" ht="14.25" hidden="false" customHeight="false" outlineLevel="0" collapsed="false">
      <c r="B11" s="41" t="s">
        <v>24</v>
      </c>
      <c r="C11" s="41"/>
      <c r="D11" s="85"/>
      <c r="E11" s="85"/>
      <c r="F11" s="85"/>
      <c r="G11" s="85"/>
      <c r="H11" s="85"/>
      <c r="I11" s="85"/>
      <c r="J11" s="52" t="n">
        <f aca="false">SUM(J3:J10)</f>
        <v>28</v>
      </c>
      <c r="K11" s="41"/>
      <c r="M11" s="52" t="n">
        <f aca="false">SUM(M3:M10)</f>
        <v>25</v>
      </c>
      <c r="N11" s="52" t="n">
        <f aca="false">SUM(N3:N10)</f>
        <v>27</v>
      </c>
      <c r="O11" s="52" t="n">
        <f aca="false">SUM(O3:O10)</f>
        <v>15</v>
      </c>
      <c r="Q11" s="52" t="n">
        <f aca="false">SUM(Q3:Q10)</f>
        <v>1665</v>
      </c>
      <c r="R11" s="52" t="n">
        <f aca="false">SUM(R3:R10)</f>
        <v>1865</v>
      </c>
      <c r="S11" s="52" t="n">
        <f aca="false">SUM(S3:S10)</f>
        <v>1045</v>
      </c>
    </row>
    <row r="12" customFormat="false" ht="14.25" hidden="false" customHeight="false" outlineLevel="0" collapsed="false">
      <c r="B12" s="41" t="s">
        <v>25</v>
      </c>
      <c r="C12" s="41"/>
      <c r="D12" s="41"/>
      <c r="E12" s="41"/>
      <c r="F12" s="41"/>
      <c r="G12" s="41"/>
      <c r="H12" s="41"/>
      <c r="I12" s="41"/>
      <c r="J12" s="41"/>
      <c r="K12" s="52" t="n">
        <f aca="false">SUM(K3:K10)</f>
        <v>5745</v>
      </c>
      <c r="M12" s="41"/>
      <c r="N12" s="41"/>
      <c r="O12" s="41"/>
      <c r="Q12" s="41"/>
      <c r="R12" s="41"/>
      <c r="S12" s="41"/>
    </row>
    <row r="13" customFormat="false" ht="14.25" hidden="false" customHeight="false" outlineLevel="0" collapsed="false">
      <c r="M13" s="86" t="n">
        <f aca="false">COUNT(C3:C10)*5</f>
        <v>40</v>
      </c>
    </row>
    <row r="14" customFormat="false" ht="14.25" hidden="false" customHeight="false" outlineLevel="0" collapsed="false">
      <c r="B14" s="41" t="s">
        <v>260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61"/>
      <c r="N14" s="41"/>
      <c r="O14" s="41"/>
      <c r="P14" s="41"/>
      <c r="Q14" s="60" t="n">
        <f aca="false">M11*4</f>
        <v>100</v>
      </c>
      <c r="R14" s="60" t="n">
        <f aca="false">N11*4</f>
        <v>108</v>
      </c>
      <c r="S14" s="60" t="n">
        <f aca="false">O11*4</f>
        <v>60</v>
      </c>
    </row>
    <row r="15" customFormat="false" ht="16.4" hidden="false" customHeight="false" outlineLevel="0" collapsed="false">
      <c r="B15" s="41" t="s">
        <v>259</v>
      </c>
      <c r="C15" s="41" t="n">
        <v>100</v>
      </c>
      <c r="D15" s="85"/>
      <c r="E15" s="85"/>
      <c r="F15" s="85"/>
      <c r="G15" s="85"/>
      <c r="H15" s="85" t="n">
        <f aca="false">C15*H11</f>
        <v>0</v>
      </c>
      <c r="I15" s="85"/>
      <c r="J15" s="60" t="n">
        <f aca="false">K15/C15</f>
        <v>0</v>
      </c>
      <c r="K15" s="52" t="n">
        <f aca="false">SUM(D15:I15)</f>
        <v>0</v>
      </c>
      <c r="L15" s="41"/>
      <c r="M15" s="41" t="n">
        <v>0</v>
      </c>
      <c r="N15" s="41" t="n">
        <v>5</v>
      </c>
      <c r="O15" s="41" t="n">
        <v>5</v>
      </c>
      <c r="P15" s="41"/>
      <c r="Q15" s="41" t="n">
        <f aca="false">C15*M15</f>
        <v>0</v>
      </c>
      <c r="R15" s="41" t="n">
        <f aca="false">C15*N15</f>
        <v>500</v>
      </c>
      <c r="S15" s="41" t="n">
        <f aca="false">C15*O15</f>
        <v>500</v>
      </c>
    </row>
    <row r="16" customFormat="false" ht="14.25" hidden="false" customHeight="false" outlineLevel="0" collapsed="false">
      <c r="B16" s="41" t="s">
        <v>261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</row>
    <row r="17" customFormat="false" ht="14.25" hidden="false" customHeight="false" outlineLevel="0" collapsed="false">
      <c r="E17" s="1" t="s">
        <v>262</v>
      </c>
    </row>
    <row r="19" customFormat="false" ht="14.25" hidden="true" customHeight="false" outlineLevel="0" collapsed="false">
      <c r="B19" s="1" t="s">
        <v>263</v>
      </c>
    </row>
    <row r="20" customFormat="false" ht="14.25" hidden="true" customHeight="false" outlineLevel="0" collapsed="false">
      <c r="B20" s="87"/>
      <c r="N20" s="88"/>
      <c r="O20" s="88"/>
      <c r="P20" s="88"/>
      <c r="Q20" s="88" t="s">
        <v>264</v>
      </c>
      <c r="R20" s="88" t="s">
        <v>29</v>
      </c>
    </row>
    <row r="21" customFormat="false" ht="14.25" hidden="true" customHeight="false" outlineLevel="0" collapsed="false">
      <c r="B21" s="87" t="s">
        <v>265</v>
      </c>
      <c r="N21" s="88" t="s">
        <v>266</v>
      </c>
      <c r="O21" s="88" t="s">
        <v>37</v>
      </c>
      <c r="P21" s="88"/>
      <c r="Q21" s="89" t="n">
        <v>10</v>
      </c>
      <c r="R21" s="89" t="n">
        <f aca="false">Q21*$Q$14</f>
        <v>1000</v>
      </c>
    </row>
    <row r="22" customFormat="false" ht="14.25" hidden="true" customHeight="false" outlineLevel="0" collapsed="false">
      <c r="B22" s="87" t="s">
        <v>267</v>
      </c>
      <c r="N22" s="88"/>
      <c r="O22" s="88" t="s">
        <v>51</v>
      </c>
      <c r="P22" s="88"/>
      <c r="Q22" s="89" t="n">
        <v>1000</v>
      </c>
      <c r="R22" s="89" t="n">
        <f aca="false">Q22*$Q$14</f>
        <v>100000</v>
      </c>
    </row>
    <row r="23" customFormat="false" ht="14.25" hidden="true" customHeight="false" outlineLevel="0" collapsed="false">
      <c r="B23" s="1" t="n">
        <v>0</v>
      </c>
      <c r="C23" s="1" t="s">
        <v>268</v>
      </c>
      <c r="N23" s="88"/>
      <c r="O23" s="88" t="s">
        <v>53</v>
      </c>
      <c r="P23" s="88"/>
      <c r="Q23" s="89" t="n">
        <v>1000</v>
      </c>
      <c r="R23" s="89" t="n">
        <f aca="false">Q23*$Q$14</f>
        <v>100000</v>
      </c>
    </row>
    <row r="24" customFormat="false" ht="14.25" hidden="true" customHeight="false" outlineLevel="0" collapsed="false">
      <c r="B24" s="1" t="n">
        <v>1</v>
      </c>
      <c r="C24" s="1" t="s">
        <v>269</v>
      </c>
      <c r="N24" s="88"/>
      <c r="O24" s="88"/>
      <c r="P24" s="88"/>
      <c r="Q24" s="89" t="n">
        <f aca="false">SUM(Q21:Q23)</f>
        <v>2010</v>
      </c>
      <c r="R24" s="89" t="n">
        <f aca="false">SUM(R21:R23)</f>
        <v>201000</v>
      </c>
    </row>
    <row r="25" customFormat="false" ht="14.25" hidden="true" customHeight="false" outlineLevel="0" collapsed="false">
      <c r="B25" s="1" t="n">
        <v>2</v>
      </c>
      <c r="C25" s="1" t="str">
        <f aca="false">B25&amp;"  person"</f>
        <v>2  person</v>
      </c>
    </row>
    <row r="26" customFormat="false" ht="14.25" hidden="true" customHeight="false" outlineLevel="0" collapsed="false">
      <c r="B26" s="1" t="n">
        <v>3</v>
      </c>
      <c r="C26" s="1" t="str">
        <f aca="false">B26&amp;"  person"</f>
        <v>3  person</v>
      </c>
      <c r="H26" s="90" t="s">
        <v>126</v>
      </c>
      <c r="N26" s="88"/>
      <c r="O26" s="88"/>
      <c r="P26" s="88"/>
      <c r="Q26" s="88" t="s">
        <v>264</v>
      </c>
      <c r="R26" s="88" t="s">
        <v>29</v>
      </c>
    </row>
    <row r="27" customFormat="false" ht="14.25" hidden="true" customHeight="false" outlineLevel="0" collapsed="false">
      <c r="B27" s="1" t="n">
        <v>4</v>
      </c>
      <c r="C27" s="1" t="str">
        <f aca="false">B27&amp;"  person"</f>
        <v>4  person</v>
      </c>
      <c r="H27" s="91" t="s">
        <v>136</v>
      </c>
      <c r="N27" s="88" t="s">
        <v>60</v>
      </c>
      <c r="O27" s="88" t="s">
        <v>37</v>
      </c>
      <c r="P27" s="88"/>
      <c r="Q27" s="89" t="n">
        <v>10</v>
      </c>
      <c r="R27" s="89" t="n">
        <f aca="false">Q27*$Q$14</f>
        <v>1000</v>
      </c>
    </row>
    <row r="28" customFormat="false" ht="16.4" hidden="true" customHeight="false" outlineLevel="0" collapsed="false">
      <c r="B28" s="1" t="n">
        <v>5</v>
      </c>
      <c r="C28" s="1" t="str">
        <f aca="false">B28&amp;"  person"</f>
        <v>5  person</v>
      </c>
      <c r="H28" s="92" t="s">
        <v>145</v>
      </c>
      <c r="N28" s="88"/>
      <c r="O28" s="88" t="s">
        <v>51</v>
      </c>
      <c r="P28" s="88"/>
      <c r="Q28" s="89" t="n">
        <v>1000</v>
      </c>
      <c r="R28" s="89" t="n">
        <f aca="false">Q28*$Q$14</f>
        <v>100000</v>
      </c>
    </row>
    <row r="29" customFormat="false" ht="31.3" hidden="true" customHeight="false" outlineLevel="0" collapsed="false">
      <c r="H29" s="93" t="s">
        <v>153</v>
      </c>
      <c r="N29" s="88"/>
      <c r="O29" s="88" t="s">
        <v>53</v>
      </c>
      <c r="P29" s="88"/>
      <c r="Q29" s="89" t="n">
        <v>1000</v>
      </c>
      <c r="R29" s="89" t="n">
        <f aca="false">Q29*$Q$14</f>
        <v>100000</v>
      </c>
    </row>
    <row r="30" customFormat="false" ht="16.4" hidden="true" customHeight="false" outlineLevel="0" collapsed="false">
      <c r="H30" s="93" t="s">
        <v>161</v>
      </c>
      <c r="N30" s="88"/>
      <c r="O30" s="88"/>
      <c r="P30" s="88"/>
      <c r="Q30" s="89" t="n">
        <f aca="false">SUM(Q27:Q29)</f>
        <v>2010</v>
      </c>
      <c r="R30" s="89" t="n">
        <f aca="false">SUM(R27:R29)</f>
        <v>201000</v>
      </c>
    </row>
    <row r="31" customFormat="false" ht="16.4" hidden="true" customHeight="false" outlineLevel="0" collapsed="false">
      <c r="H31" s="93" t="s">
        <v>170</v>
      </c>
    </row>
    <row r="32" customFormat="false" ht="16.4" hidden="true" customHeight="false" outlineLevel="0" collapsed="false">
      <c r="H32" s="92" t="s">
        <v>179</v>
      </c>
    </row>
    <row r="33" customFormat="false" ht="14.25" hidden="true" customHeight="false" outlineLevel="0" collapsed="false">
      <c r="K33" s="1" t="s">
        <v>31</v>
      </c>
      <c r="L33" s="1" t="s">
        <v>270</v>
      </c>
      <c r="M33" s="1" t="s">
        <v>35</v>
      </c>
      <c r="N33" s="1" t="s">
        <v>33</v>
      </c>
    </row>
    <row r="34" customFormat="false" ht="14.25" hidden="false" customHeight="false" outlineLevel="0" collapsed="false">
      <c r="H34" s="41" t="s">
        <v>271</v>
      </c>
      <c r="I34" s="41"/>
      <c r="J34" s="41"/>
      <c r="K34" s="38" t="s">
        <v>272</v>
      </c>
      <c r="L34" s="38"/>
      <c r="M34" s="38"/>
      <c r="N34" s="38"/>
      <c r="O34" s="38"/>
      <c r="P34" s="38"/>
    </row>
    <row r="35" customFormat="false" ht="14.25" hidden="false" customHeight="false" outlineLevel="0" collapsed="false">
      <c r="H35" s="41" t="s">
        <v>31</v>
      </c>
      <c r="I35" s="41" t="s">
        <v>35</v>
      </c>
      <c r="J35" s="41" t="s">
        <v>33</v>
      </c>
      <c r="K35" s="41" t="s">
        <v>4</v>
      </c>
      <c r="L35" s="41" t="s">
        <v>5</v>
      </c>
      <c r="M35" s="41" t="s">
        <v>6</v>
      </c>
      <c r="N35" s="41" t="s">
        <v>7</v>
      </c>
      <c r="O35" s="41" t="s">
        <v>8</v>
      </c>
      <c r="P35" s="41" t="s">
        <v>36</v>
      </c>
    </row>
    <row r="36" customFormat="false" ht="14.25" hidden="false" customHeight="true" outlineLevel="0" collapsed="false">
      <c r="H36" s="38" t="s">
        <v>37</v>
      </c>
      <c r="I36" s="94" t="s">
        <v>38</v>
      </c>
      <c r="J36" s="41" t="s">
        <v>39</v>
      </c>
      <c r="K36" s="41"/>
      <c r="L36" s="41"/>
      <c r="M36" s="41"/>
      <c r="N36" s="41"/>
      <c r="O36" s="41"/>
      <c r="P36" s="41" t="n">
        <f aca="false">SUM(K36:O36)</f>
        <v>0</v>
      </c>
    </row>
    <row r="37" customFormat="false" ht="14.25" hidden="false" customHeight="false" outlineLevel="0" collapsed="false">
      <c r="H37" s="38"/>
      <c r="I37" s="94"/>
      <c r="J37" s="41" t="s">
        <v>40</v>
      </c>
      <c r="K37" s="41"/>
      <c r="L37" s="41"/>
      <c r="M37" s="41"/>
      <c r="N37" s="41"/>
      <c r="O37" s="41"/>
      <c r="P37" s="41" t="n">
        <f aca="false">SUM(K37:O37)</f>
        <v>0</v>
      </c>
    </row>
    <row r="38" customFormat="false" ht="14.25" hidden="false" customHeight="false" outlineLevel="0" collapsed="false">
      <c r="H38" s="38"/>
      <c r="I38" s="94"/>
      <c r="J38" s="41" t="s">
        <v>41</v>
      </c>
      <c r="K38" s="41"/>
      <c r="L38" s="41"/>
      <c r="M38" s="41"/>
      <c r="N38" s="41"/>
      <c r="O38" s="41"/>
      <c r="P38" s="41" t="n">
        <f aca="false">SUM(K38:O38)</f>
        <v>0</v>
      </c>
    </row>
    <row r="39" customFormat="false" ht="14.25" hidden="false" customHeight="true" outlineLevel="0" collapsed="false">
      <c r="H39" s="38"/>
      <c r="I39" s="94" t="s">
        <v>42</v>
      </c>
      <c r="J39" s="41" t="s">
        <v>43</v>
      </c>
      <c r="K39" s="41"/>
      <c r="L39" s="41"/>
      <c r="M39" s="41"/>
      <c r="N39" s="41"/>
      <c r="O39" s="41"/>
      <c r="P39" s="41" t="n">
        <f aca="false">SUM(K39:O39)</f>
        <v>0</v>
      </c>
    </row>
    <row r="40" customFormat="false" ht="14.25" hidden="false" customHeight="false" outlineLevel="0" collapsed="false">
      <c r="H40" s="38"/>
      <c r="I40" s="94"/>
      <c r="J40" s="41" t="s">
        <v>44</v>
      </c>
      <c r="K40" s="41"/>
      <c r="L40" s="41"/>
      <c r="M40" s="41"/>
      <c r="N40" s="41"/>
      <c r="O40" s="41"/>
      <c r="P40" s="41" t="n">
        <f aca="false">SUM(K40:O40)</f>
        <v>0</v>
      </c>
    </row>
    <row r="41" customFormat="false" ht="14.25" hidden="false" customHeight="false" outlineLevel="0" collapsed="false">
      <c r="H41" s="38"/>
      <c r="I41" s="94"/>
      <c r="J41" s="41" t="s">
        <v>45</v>
      </c>
      <c r="K41" s="41"/>
      <c r="L41" s="41"/>
      <c r="M41" s="41"/>
      <c r="N41" s="41"/>
      <c r="O41" s="41"/>
      <c r="P41" s="41" t="n">
        <f aca="false">SUM(K41:O41)</f>
        <v>0</v>
      </c>
    </row>
    <row r="42" customFormat="false" ht="14.25" hidden="false" customHeight="true" outlineLevel="0" collapsed="false">
      <c r="H42" s="38"/>
      <c r="I42" s="94" t="s">
        <v>46</v>
      </c>
      <c r="J42" s="41" t="s">
        <v>47</v>
      </c>
      <c r="K42" s="41"/>
      <c r="L42" s="41"/>
      <c r="M42" s="41"/>
      <c r="N42" s="41"/>
      <c r="O42" s="41"/>
      <c r="P42" s="41" t="n">
        <f aca="false">SUM(K42:O42)</f>
        <v>0</v>
      </c>
    </row>
    <row r="43" customFormat="false" ht="14.25" hidden="false" customHeight="false" outlineLevel="0" collapsed="false">
      <c r="H43" s="38"/>
      <c r="I43" s="94"/>
      <c r="J43" s="41" t="s">
        <v>48</v>
      </c>
      <c r="K43" s="41"/>
      <c r="L43" s="41"/>
      <c r="M43" s="41"/>
      <c r="N43" s="41"/>
      <c r="O43" s="41"/>
      <c r="P43" s="41" t="n">
        <f aca="false">SUM(K43:O43)</f>
        <v>0</v>
      </c>
    </row>
    <row r="44" customFormat="false" ht="14.25" hidden="false" customHeight="false" outlineLevel="0" collapsed="false">
      <c r="H44" s="38"/>
      <c r="I44" s="94"/>
      <c r="J44" s="41" t="s">
        <v>49</v>
      </c>
      <c r="K44" s="41"/>
      <c r="L44" s="41"/>
      <c r="M44" s="41"/>
      <c r="N44" s="41"/>
      <c r="O44" s="41"/>
      <c r="P44" s="41" t="n">
        <f aca="false">SUM(K44:O44)</f>
        <v>0</v>
      </c>
    </row>
    <row r="45" customFormat="false" ht="14.25" hidden="false" customHeight="false" outlineLevel="0" collapsed="false">
      <c r="H45" s="41" t="s">
        <v>36</v>
      </c>
      <c r="I45" s="41"/>
      <c r="J45" s="41"/>
      <c r="K45" s="41" t="n">
        <f aca="false">SUM(K36:K44)</f>
        <v>0</v>
      </c>
      <c r="L45" s="41" t="n">
        <f aca="false">SUM(L36:L44)</f>
        <v>0</v>
      </c>
      <c r="M45" s="41" t="n">
        <f aca="false">SUM(M36:M44)</f>
        <v>0</v>
      </c>
      <c r="N45" s="41" t="n">
        <f aca="false">SUM(N36:N44)</f>
        <v>0</v>
      </c>
      <c r="O45" s="41" t="n">
        <f aca="false">SUM(O36:O44)</f>
        <v>0</v>
      </c>
      <c r="P45" s="39" t="n">
        <f aca="false">SUM(P36:P44)</f>
        <v>0</v>
      </c>
    </row>
  </sheetData>
  <mergeCells count="8">
    <mergeCell ref="D1:I1"/>
    <mergeCell ref="M1:O1"/>
    <mergeCell ref="Q1:S1"/>
    <mergeCell ref="K34:P34"/>
    <mergeCell ref="H36:H44"/>
    <mergeCell ref="I36:I38"/>
    <mergeCell ref="I39:I41"/>
    <mergeCell ref="I42:I44"/>
  </mergeCells>
  <conditionalFormatting sqref="J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5:I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:J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I1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6" colorId="64" zoomScale="70" zoomScaleNormal="70" zoomScalePageLayoutView="100" workbookViewId="0">
      <selection pane="topLeft" activeCell="J3" activeCellId="0" sqref="J3"/>
    </sheetView>
  </sheetViews>
  <sheetFormatPr defaultColWidth="8.63671875" defaultRowHeight="14.25" zeroHeight="false" outlineLevelRow="0" outlineLevelCol="0"/>
  <cols>
    <col collapsed="false" customWidth="true" hidden="false" outlineLevel="0" max="1" min="1" style="1" width="58.18"/>
    <col collapsed="false" customWidth="true" hidden="false" outlineLevel="0" max="4" min="4" style="1" width="10.18"/>
    <col collapsed="false" customWidth="true" hidden="false" outlineLevel="0" max="5" min="5" style="1" width="12.73"/>
    <col collapsed="false" customWidth="true" hidden="false" outlineLevel="0" max="7" min="7" style="1" width="17.45"/>
    <col collapsed="false" customWidth="true" hidden="false" outlineLevel="0" max="9" min="8" style="1" width="8.82"/>
  </cols>
  <sheetData>
    <row r="1" customFormat="false" ht="14.25" hidden="false" customHeight="false" outlineLevel="0" collapsed="false">
      <c r="G1" s="88"/>
      <c r="H1" s="88"/>
      <c r="I1" s="88"/>
      <c r="J1" s="88" t="s">
        <v>264</v>
      </c>
      <c r="K1" s="88" t="s">
        <v>29</v>
      </c>
    </row>
    <row r="2" customFormat="false" ht="14.25" hidden="false" customHeight="false" outlineLevel="0" collapsed="false">
      <c r="G2" s="88" t="s">
        <v>266</v>
      </c>
      <c r="H2" s="88" t="s">
        <v>37</v>
      </c>
      <c r="I2" s="88"/>
      <c r="J2" s="89" t="n">
        <v>10</v>
      </c>
      <c r="K2" s="89" t="n">
        <f aca="false">J2*$Q$14</f>
        <v>0</v>
      </c>
    </row>
    <row r="3" customFormat="false" ht="14.25" hidden="false" customHeight="false" outlineLevel="0" collapsed="false">
      <c r="G3" s="88"/>
      <c r="H3" s="88" t="s">
        <v>51</v>
      </c>
      <c r="I3" s="88"/>
      <c r="J3" s="89" t="n">
        <v>1000</v>
      </c>
      <c r="K3" s="89" t="n">
        <f aca="false">J3*$Q$14</f>
        <v>0</v>
      </c>
    </row>
    <row r="4" customFormat="false" ht="14.25" hidden="false" customHeight="false" outlineLevel="0" collapsed="false">
      <c r="G4" s="88"/>
      <c r="H4" s="88" t="s">
        <v>53</v>
      </c>
      <c r="I4" s="88"/>
      <c r="J4" s="89" t="n">
        <v>1000</v>
      </c>
      <c r="K4" s="89" t="n">
        <f aca="false">J4*$Q$14</f>
        <v>0</v>
      </c>
    </row>
    <row r="5" customFormat="false" ht="14.25" hidden="false" customHeight="false" outlineLevel="0" collapsed="false">
      <c r="G5" s="88"/>
      <c r="H5" s="88"/>
      <c r="I5" s="88"/>
      <c r="J5" s="89" t="n">
        <f aca="false">SUM(J2:J4)</f>
        <v>2010</v>
      </c>
      <c r="K5" s="89" t="n">
        <f aca="false">SUM(K2:K4)</f>
        <v>0</v>
      </c>
    </row>
    <row r="7" customFormat="false" ht="14.25" hidden="false" customHeight="false" outlineLevel="0" collapsed="false">
      <c r="A7" s="90" t="s">
        <v>126</v>
      </c>
      <c r="G7" s="88"/>
      <c r="H7" s="88"/>
      <c r="I7" s="88"/>
      <c r="J7" s="88" t="s">
        <v>264</v>
      </c>
      <c r="K7" s="88" t="s">
        <v>29</v>
      </c>
    </row>
    <row r="8" customFormat="false" ht="14.25" hidden="false" customHeight="false" outlineLevel="0" collapsed="false">
      <c r="A8" s="91" t="s">
        <v>136</v>
      </c>
      <c r="G8" s="88" t="s">
        <v>60</v>
      </c>
      <c r="H8" s="88" t="s">
        <v>37</v>
      </c>
      <c r="I8" s="88"/>
      <c r="J8" s="89" t="n">
        <v>10</v>
      </c>
      <c r="K8" s="89" t="n">
        <f aca="false">J8*$Q$14</f>
        <v>0</v>
      </c>
    </row>
    <row r="9" customFormat="false" ht="16.4" hidden="false" customHeight="false" outlineLevel="0" collapsed="false">
      <c r="A9" s="92" t="s">
        <v>145</v>
      </c>
      <c r="G9" s="88"/>
      <c r="H9" s="88" t="s">
        <v>51</v>
      </c>
      <c r="I9" s="88"/>
      <c r="J9" s="89" t="n">
        <v>1000</v>
      </c>
      <c r="K9" s="89" t="n">
        <f aca="false">J9*$Q$14</f>
        <v>0</v>
      </c>
    </row>
    <row r="10" customFormat="false" ht="31.3" hidden="false" customHeight="false" outlineLevel="0" collapsed="false">
      <c r="A10" s="93" t="s">
        <v>153</v>
      </c>
      <c r="G10" s="88"/>
      <c r="H10" s="88" t="s">
        <v>53</v>
      </c>
      <c r="I10" s="88"/>
      <c r="J10" s="89" t="n">
        <v>1000</v>
      </c>
      <c r="K10" s="89" t="n">
        <f aca="false">J10*$Q$14</f>
        <v>0</v>
      </c>
    </row>
    <row r="11" customFormat="false" ht="16.4" hidden="false" customHeight="false" outlineLevel="0" collapsed="false">
      <c r="A11" s="93" t="s">
        <v>161</v>
      </c>
      <c r="G11" s="88"/>
      <c r="H11" s="88"/>
      <c r="I11" s="88"/>
      <c r="J11" s="89" t="n">
        <f aca="false">SUM(J8:J10)</f>
        <v>2010</v>
      </c>
      <c r="K11" s="89" t="n">
        <f aca="false">SUM(K8:K10)</f>
        <v>0</v>
      </c>
    </row>
    <row r="12" customFormat="false" ht="16.4" hidden="false" customHeight="false" outlineLevel="0" collapsed="false">
      <c r="A12" s="93" t="s">
        <v>170</v>
      </c>
    </row>
    <row r="13" customFormat="false" ht="16.4" hidden="false" customHeight="false" outlineLevel="0" collapsed="false">
      <c r="A13" s="92" t="s">
        <v>179</v>
      </c>
    </row>
    <row r="14" customFormat="false" ht="14.25" hidden="false" customHeight="false" outlineLevel="0" collapsed="false">
      <c r="D14" s="1" t="s">
        <v>31</v>
      </c>
      <c r="E14" s="1" t="s">
        <v>270</v>
      </c>
      <c r="F14" s="1" t="s">
        <v>35</v>
      </c>
      <c r="G14" s="1" t="s">
        <v>33</v>
      </c>
    </row>
    <row r="15" customFormat="false" ht="14.25" hidden="false" customHeight="false" outlineLevel="0" collapsed="false">
      <c r="D15" s="1" t="s">
        <v>273</v>
      </c>
    </row>
    <row r="16" customFormat="false" ht="14.25" hidden="false" customHeight="false" outlineLevel="0" collapsed="false">
      <c r="D16" s="1" t="s">
        <v>274</v>
      </c>
    </row>
    <row r="17" customFormat="false" ht="14.25" hidden="false" customHeight="false" outlineLevel="0" collapsed="false">
      <c r="D17" s="41"/>
      <c r="E17" s="41"/>
      <c r="F17" s="41"/>
      <c r="G17" s="38" t="s">
        <v>272</v>
      </c>
      <c r="H17" s="38"/>
      <c r="I17" s="38"/>
      <c r="J17" s="38"/>
      <c r="K17" s="38"/>
      <c r="L17" s="38"/>
    </row>
    <row r="18" customFormat="false" ht="14.25" hidden="false" customHeight="false" outlineLevel="0" collapsed="false">
      <c r="D18" s="41" t="s">
        <v>31</v>
      </c>
      <c r="E18" s="41" t="s">
        <v>35</v>
      </c>
      <c r="F18" s="41" t="s">
        <v>33</v>
      </c>
      <c r="G18" s="41" t="s">
        <v>4</v>
      </c>
      <c r="H18" s="41" t="s">
        <v>5</v>
      </c>
      <c r="I18" s="41" t="s">
        <v>6</v>
      </c>
      <c r="J18" s="41" t="s">
        <v>7</v>
      </c>
      <c r="K18" s="41" t="s">
        <v>8</v>
      </c>
      <c r="L18" s="41" t="s">
        <v>36</v>
      </c>
    </row>
    <row r="19" customFormat="false" ht="14.25" hidden="false" customHeight="true" outlineLevel="0" collapsed="false">
      <c r="D19" s="38" t="s">
        <v>37</v>
      </c>
      <c r="E19" s="94" t="s">
        <v>38</v>
      </c>
      <c r="F19" s="41" t="s">
        <v>39</v>
      </c>
      <c r="G19" s="41"/>
      <c r="H19" s="41"/>
      <c r="I19" s="41"/>
      <c r="J19" s="41"/>
      <c r="K19" s="41"/>
      <c r="L19" s="41" t="n">
        <f aca="false">SUM(G19:K19)</f>
        <v>0</v>
      </c>
    </row>
    <row r="20" customFormat="false" ht="14.25" hidden="false" customHeight="false" outlineLevel="0" collapsed="false">
      <c r="D20" s="38"/>
      <c r="E20" s="94"/>
      <c r="F20" s="41" t="s">
        <v>40</v>
      </c>
      <c r="G20" s="41"/>
      <c r="H20" s="41"/>
      <c r="I20" s="41"/>
      <c r="J20" s="41"/>
      <c r="K20" s="41"/>
      <c r="L20" s="41" t="n">
        <f aca="false">SUM(G20:K20)</f>
        <v>0</v>
      </c>
    </row>
    <row r="21" customFormat="false" ht="14.25" hidden="false" customHeight="false" outlineLevel="0" collapsed="false">
      <c r="D21" s="38"/>
      <c r="E21" s="94"/>
      <c r="F21" s="41" t="s">
        <v>41</v>
      </c>
      <c r="G21" s="41"/>
      <c r="H21" s="41"/>
      <c r="I21" s="41"/>
      <c r="J21" s="41"/>
      <c r="K21" s="41"/>
      <c r="L21" s="41" t="n">
        <f aca="false">SUM(G21:K21)</f>
        <v>0</v>
      </c>
    </row>
    <row r="22" customFormat="false" ht="14.25" hidden="false" customHeight="true" outlineLevel="0" collapsed="false">
      <c r="D22" s="38"/>
      <c r="E22" s="94" t="s">
        <v>42</v>
      </c>
      <c r="F22" s="41" t="s">
        <v>43</v>
      </c>
      <c r="G22" s="41"/>
      <c r="H22" s="41"/>
      <c r="I22" s="41"/>
      <c r="J22" s="41"/>
      <c r="K22" s="41"/>
      <c r="L22" s="41" t="n">
        <f aca="false">SUM(G22:K22)</f>
        <v>0</v>
      </c>
    </row>
    <row r="23" customFormat="false" ht="14.25" hidden="false" customHeight="false" outlineLevel="0" collapsed="false">
      <c r="D23" s="38"/>
      <c r="E23" s="94"/>
      <c r="F23" s="41" t="s">
        <v>44</v>
      </c>
      <c r="G23" s="41"/>
      <c r="H23" s="41"/>
      <c r="I23" s="41"/>
      <c r="J23" s="41"/>
      <c r="K23" s="41"/>
      <c r="L23" s="41" t="n">
        <f aca="false">SUM(G23:K23)</f>
        <v>0</v>
      </c>
    </row>
    <row r="24" customFormat="false" ht="14.25" hidden="false" customHeight="false" outlineLevel="0" collapsed="false">
      <c r="D24" s="38"/>
      <c r="E24" s="94"/>
      <c r="F24" s="41" t="s">
        <v>45</v>
      </c>
      <c r="G24" s="41"/>
      <c r="H24" s="41"/>
      <c r="I24" s="41"/>
      <c r="J24" s="41"/>
      <c r="K24" s="41"/>
      <c r="L24" s="41" t="n">
        <f aca="false">SUM(G24:K24)</f>
        <v>0</v>
      </c>
    </row>
    <row r="25" customFormat="false" ht="14.25" hidden="false" customHeight="true" outlineLevel="0" collapsed="false">
      <c r="D25" s="38"/>
      <c r="E25" s="94" t="s">
        <v>46</v>
      </c>
      <c r="F25" s="41" t="s">
        <v>47</v>
      </c>
      <c r="G25" s="41"/>
      <c r="H25" s="41"/>
      <c r="I25" s="41"/>
      <c r="J25" s="41"/>
      <c r="K25" s="41"/>
      <c r="L25" s="41" t="n">
        <f aca="false">SUM(G25:K25)</f>
        <v>0</v>
      </c>
    </row>
    <row r="26" customFormat="false" ht="14.25" hidden="false" customHeight="false" outlineLevel="0" collapsed="false">
      <c r="D26" s="38"/>
      <c r="E26" s="94"/>
      <c r="F26" s="41" t="s">
        <v>48</v>
      </c>
      <c r="G26" s="41"/>
      <c r="H26" s="41"/>
      <c r="I26" s="41"/>
      <c r="J26" s="41"/>
      <c r="K26" s="41"/>
      <c r="L26" s="41" t="n">
        <f aca="false">SUM(G26:K26)</f>
        <v>0</v>
      </c>
    </row>
    <row r="27" customFormat="false" ht="14.25" hidden="false" customHeight="false" outlineLevel="0" collapsed="false">
      <c r="D27" s="38"/>
      <c r="E27" s="94"/>
      <c r="F27" s="41" t="s">
        <v>49</v>
      </c>
      <c r="G27" s="41"/>
      <c r="H27" s="41"/>
      <c r="I27" s="41"/>
      <c r="J27" s="41"/>
      <c r="K27" s="41"/>
      <c r="L27" s="41" t="n">
        <f aca="false">SUM(G27:K27)</f>
        <v>0</v>
      </c>
    </row>
    <row r="28" customFormat="false" ht="14.25" hidden="false" customHeight="false" outlineLevel="0" collapsed="false">
      <c r="D28" s="41" t="s">
        <v>36</v>
      </c>
      <c r="E28" s="41"/>
      <c r="F28" s="41"/>
      <c r="G28" s="41" t="n">
        <f aca="false">SUM(G19:G27)</f>
        <v>0</v>
      </c>
      <c r="H28" s="41" t="n">
        <f aca="false">SUM(H19:H27)</f>
        <v>0</v>
      </c>
      <c r="I28" s="41" t="n">
        <f aca="false">SUM(I19:I27)</f>
        <v>0</v>
      </c>
      <c r="J28" s="41" t="n">
        <f aca="false">SUM(J19:J27)</f>
        <v>0</v>
      </c>
      <c r="K28" s="41" t="n">
        <f aca="false">SUM(K19:K27)</f>
        <v>0</v>
      </c>
      <c r="L28" s="39" t="n">
        <f aca="false">SUM(L19:L27)</f>
        <v>0</v>
      </c>
    </row>
  </sheetData>
  <mergeCells count="5">
    <mergeCell ref="G17:L17"/>
    <mergeCell ref="D19:D27"/>
    <mergeCell ref="E19:E21"/>
    <mergeCell ref="E22:E24"/>
    <mergeCell ref="E25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2025-02-01T10:19:58Z</dcterms:created>
  <dc:creator>Firdaus Ali</dc:creator>
  <dc:description/>
  <dc:language>en-US</dc:language>
  <cp:lastModifiedBy/>
  <dcterms:modified xsi:type="dcterms:W3CDTF">2025-02-10T22:22:07Z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
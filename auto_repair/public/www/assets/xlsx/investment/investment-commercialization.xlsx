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mmercialisation Model" sheetId="1" state="visible" r:id="rId3"/>
    <sheet name="investment_strength_matrix" sheetId="2" state="visible" r:id="rId4"/>
    <sheet name="packages" sheetId="3" state="visible" r:id="rId5"/>
    <sheet name="customers_revenu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<sst xmlns="http://schemas.openxmlformats.org/spreadsheetml/2006/main" count="203" uniqueCount="82">
  <si>
    <t xml:space="preserve">Commercialisation Model (Product Wise) eg, SI-6</t>
  </si>
  <si>
    <t xml:space="preserve">Score Calculations</t>
  </si>
  <si>
    <r>
      <rPr>
        <sz val="11"/>
        <color theme="9" tint="-0.5"/>
        <rFont val="Aptos Narrow"/>
        <family val="2"/>
        <charset val="1"/>
      </rPr>
      <t xml:space="preserve"> Business Channel  (Select one from dropdown Menue), then Set</t>
    </r>
    <r>
      <rPr>
        <sz val="11"/>
        <color theme="1"/>
        <rFont val="Aptos Narrow"/>
        <family val="2"/>
        <charset val="1"/>
      </rPr>
      <t xml:space="preserve"> Scores </t>
    </r>
    <r>
      <rPr>
        <sz val="11"/>
        <color theme="9" tint="-0.5"/>
        <rFont val="Aptos Narrow"/>
        <family val="2"/>
        <charset val="1"/>
      </rPr>
      <t xml:space="preserve">&amp; Calculate Charges</t>
    </r>
  </si>
  <si>
    <t xml:space="preserve">Commercialization Matrix</t>
  </si>
  <si>
    <t xml:space="preserve">Score Points</t>
  </si>
  <si>
    <t xml:space="preserve">Royalty</t>
  </si>
  <si>
    <t xml:space="preserve">Fees</t>
  </si>
  <si>
    <t xml:space="preserve">spinoff</t>
  </si>
  <si>
    <t xml:space="preserve">Franchise</t>
  </si>
  <si>
    <t xml:space="preserve">Other</t>
  </si>
  <si>
    <t xml:space="preserve">Factor</t>
  </si>
  <si>
    <t xml:space="preserve">Total</t>
  </si>
  <si>
    <t xml:space="preserve">Strength of idea/ Concept</t>
  </si>
  <si>
    <t xml:space="preserve">1 to 5*1</t>
  </si>
  <si>
    <t xml:space="preserve">Prototype readiness for commercialisation</t>
  </si>
  <si>
    <t xml:space="preserve">1 to 5*2</t>
  </si>
  <si>
    <t xml:space="preserve">Completion &amp; Quality of Piloting Scale </t>
  </si>
  <si>
    <t xml:space="preserve">1 to 5*3</t>
  </si>
  <si>
    <t xml:space="preserve">IP Protection Strength </t>
  </si>
  <si>
    <t xml:space="preserve">1 to 5*5</t>
  </si>
  <si>
    <t xml:space="preserve">Branding Readiness </t>
  </si>
  <si>
    <t xml:space="preserve">Commercialisation Readiness</t>
  </si>
  <si>
    <t xml:space="preserve">1 to 5*10</t>
  </si>
  <si>
    <r>
      <rPr>
        <sz val="11"/>
        <color theme="1"/>
        <rFont val="Aptos Narrow"/>
        <family val="2"/>
        <charset val="1"/>
      </rPr>
      <t xml:space="preserve">Exclusivity</t>
    </r>
    <r>
      <rPr>
        <sz val="10"/>
        <color theme="1"/>
        <rFont val="Aptos Narrow"/>
        <family val="2"/>
        <charset val="1"/>
      </rPr>
      <t xml:space="preserve"> (0 score no Execlusivity &amp; 5 Full Execlusivity) </t>
    </r>
  </si>
  <si>
    <t xml:space="preserve">1 to 5*100</t>
  </si>
  <si>
    <t xml:space="preserve">Total score = </t>
  </si>
  <si>
    <t xml:space="preserve">Total Charges =</t>
  </si>
  <si>
    <t xml:space="preserve">Packages</t>
  </si>
  <si>
    <t xml:space="preserve">Charges in OMR</t>
  </si>
  <si>
    <t xml:space="preserve">Bronze</t>
  </si>
  <si>
    <t xml:space="preserve">Silver</t>
  </si>
  <si>
    <t xml:space="preserve">Gold</t>
  </si>
  <si>
    <t xml:space="preserve">Targeted Markets </t>
  </si>
  <si>
    <t xml:space="preserve">Targeted Number of Customers &amp; Revenue</t>
  </si>
  <si>
    <t xml:space="preserve">Region</t>
  </si>
  <si>
    <t xml:space="preserve">Segments/Sectors</t>
  </si>
  <si>
    <t xml:space="preserve">Partners</t>
  </si>
  <si>
    <t xml:space="preserve">Oman
(Projected Number of Customers)</t>
  </si>
  <si>
    <t xml:space="preserve">SI6/Garages</t>
  </si>
  <si>
    <t xml:space="preserve">Partners1</t>
  </si>
  <si>
    <t xml:space="preserve">Partners2</t>
  </si>
  <si>
    <t xml:space="preserve">Partners3</t>
  </si>
  <si>
    <t xml:space="preserve">SI6/Services</t>
  </si>
  <si>
    <t xml:space="preserve">Partners4</t>
  </si>
  <si>
    <t xml:space="preserve">Partners5</t>
  </si>
  <si>
    <t xml:space="preserve">Partners6</t>
  </si>
  <si>
    <t xml:space="preserve">SI6/Food &amp; Beverages</t>
  </si>
  <si>
    <t xml:space="preserve">Partners7</t>
  </si>
  <si>
    <t xml:space="preserve">Partners8</t>
  </si>
  <si>
    <t xml:space="preserve">Partners9</t>
  </si>
  <si>
    <t xml:space="preserve">Other(provision)</t>
  </si>
  <si>
    <t xml:space="preserve">Total Number of Customers -Oman</t>
  </si>
  <si>
    <t xml:space="preserve">Total Revenue ( in OMR)-Oman</t>
  </si>
  <si>
    <t xml:space="preserve">Iran
(Projected Number of Customers)</t>
  </si>
  <si>
    <t xml:space="preserve">Segment 1</t>
  </si>
  <si>
    <t xml:space="preserve">Segment 2</t>
  </si>
  <si>
    <t xml:space="preserve">Segment3</t>
  </si>
  <si>
    <t xml:space="preserve">Total Number of Customers -Iran</t>
  </si>
  <si>
    <t xml:space="preserve">Total Revenue ( in OMR)-Iran</t>
  </si>
  <si>
    <t xml:space="preserve">Malaysia
(Projected Number of Customers)</t>
  </si>
  <si>
    <t xml:space="preserve">Total Number of Customers -Malaysia</t>
  </si>
  <si>
    <t xml:space="preserve">Total Revenue ( in OMR)-Malaysia</t>
  </si>
  <si>
    <t xml:space="preserve">Total Number of Customers</t>
  </si>
  <si>
    <r>
      <rPr>
        <b val="true"/>
        <sz val="11"/>
        <color theme="1"/>
        <rFont val="Aptos Narrow"/>
        <family val="2"/>
        <charset val="1"/>
      </rPr>
      <t xml:space="preserve">Total </t>
    </r>
    <r>
      <rPr>
        <b val="true"/>
        <sz val="11"/>
        <color rgb="FF00B050"/>
        <rFont val="Aptos Narrow"/>
        <family val="2"/>
        <charset val="1"/>
      </rPr>
      <t xml:space="preserve">Revenues</t>
    </r>
    <r>
      <rPr>
        <b val="true"/>
        <sz val="11"/>
        <color theme="1"/>
        <rFont val="Aptos Narrow"/>
        <family val="2"/>
        <charset val="1"/>
      </rPr>
      <t xml:space="preserve"> ( in OMR)</t>
    </r>
  </si>
  <si>
    <t xml:space="preserve">Section 2: Summary Table</t>
  </si>
  <si>
    <t xml:space="preserve">Price</t>
  </si>
  <si>
    <t xml:space="preserve">Investment Strength Matrix</t>
  </si>
  <si>
    <t xml:space="preserve">Charges (in OMR)</t>
  </si>
  <si>
    <r>
      <rPr>
        <b val="true"/>
        <sz val="11"/>
        <color theme="1"/>
        <rFont val="Aptos Narrow"/>
        <family val="2"/>
        <charset val="1"/>
      </rPr>
      <t xml:space="preserve">Total </t>
    </r>
    <r>
      <rPr>
        <b val="true"/>
        <sz val="11"/>
        <color rgb="FF00B050"/>
        <rFont val="Aptos Narrow"/>
        <family val="2"/>
        <charset val="1"/>
      </rPr>
      <t xml:space="preserve">Number</t>
    </r>
    <r>
      <rPr>
        <b val="true"/>
        <sz val="11"/>
        <color theme="1"/>
        <rFont val="Aptos Narrow"/>
        <family val="2"/>
        <charset val="1"/>
      </rPr>
      <t xml:space="preserve"> of Customers</t>
    </r>
  </si>
  <si>
    <t xml:space="preserve">field</t>
  </si>
  <si>
    <t xml:space="preserve">royalty_price</t>
  </si>
  <si>
    <t xml:space="preserve">fees_price</t>
  </si>
  <si>
    <t xml:space="preserve">spinoff_price</t>
  </si>
  <si>
    <t xml:space="preserve">franchise_price</t>
  </si>
  <si>
    <t xml:space="preserve">other_price</t>
  </si>
  <si>
    <t xml:space="preserve">total_price</t>
  </si>
  <si>
    <t xml:space="preserve">bronze</t>
  </si>
  <si>
    <t xml:space="preserve">silver</t>
  </si>
  <si>
    <t xml:space="preserve">gold</t>
  </si>
  <si>
    <t xml:space="preserve">other1</t>
  </si>
  <si>
    <t xml:space="preserve">other2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</si>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</sst>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_(* #,##0_);_(* \(#,##0\);_(* \-??_);_(@_)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theme="9" tint="-0.5"/>
      <name val="Aptos Narrow"/>
      <family val="2"/>
      <charset val="1"/>
    </font>
    <font>
      <b val="true"/>
      <sz val="11"/>
      <color theme="9" tint="-0.5"/>
      <name val="Aptos Narrow"/>
      <family val="2"/>
      <charset val="1"/>
    </font>
    <font>
      <sz val="10"/>
      <color theme="1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1"/>
      <color rgb="FF00B050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9933"/>
        <bgColor rgb="FFFF8080"/>
      </patternFill>
    </fill>
    <fill>
      <patternFill patternType="solid">
        <fgColor theme="7" tint="0.7999"/>
        <bgColor rgb="FFC1E5F5"/>
      </patternFill>
    </fill>
    <fill>
      <patternFill patternType="solid">
        <fgColor theme="4" tint="0.7999"/>
        <bgColor rgb="FFCAEEFB"/>
      </patternFill>
    </fill>
    <fill>
      <patternFill patternType="solid">
        <fgColor theme="0"/>
        <bgColor rgb="FFFBE3D6"/>
      </patternFill>
    </fill>
    <fill>
      <patternFill patternType="solid">
        <fgColor theme="0" tint="-0.15"/>
        <bgColor rgb="FFC1E5F5"/>
      </patternFill>
    </fill>
    <fill>
      <patternFill patternType="solid">
        <fgColor theme="5" tint="0.7999"/>
        <bgColor rgb="FFD9D9D9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>
        <color rgb="FF00B050"/>
      </left>
      <right/>
      <top style="medium">
        <color rgb="FF00B050"/>
      </top>
      <bottom/>
      <diagonal/>
    </border>
    <border diagonalUp="false" diagonalDown="false">
      <left/>
      <right/>
      <top style="medium">
        <color rgb="FF00B050"/>
      </top>
      <bottom style="medium"/>
      <diagonal/>
    </border>
    <border diagonalUp="false" diagonalDown="false">
      <left/>
      <right/>
      <top style="medium">
        <color rgb="FF00B050"/>
      </top>
      <bottom/>
      <diagonal/>
    </border>
    <border diagonalUp="false" diagonalDown="false">
      <left/>
      <right style="medium">
        <color rgb="FF00B050"/>
      </right>
      <top style="medium">
        <color rgb="FF00B050"/>
      </top>
      <bottom/>
      <diagonal/>
    </border>
    <border diagonalUp="false" diagonalDown="false">
      <left style="medium">
        <color rgb="FF00B050"/>
      </left>
      <right/>
      <top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>
        <color rgb="FF00B050"/>
      </left>
      <right style="thin"/>
      <top style="thin"/>
      <bottom style="thin"/>
      <diagonal/>
    </border>
    <border diagonalUp="false" diagonalDown="false">
      <left style="thin"/>
      <right style="medium">
        <color rgb="FF00B050"/>
      </right>
      <top style="thin"/>
      <bottom style="thin"/>
      <diagonal/>
    </border>
    <border diagonalUp="false" diagonalDown="false">
      <left/>
      <right style="medium">
        <color rgb="FF00B050"/>
      </right>
      <top/>
      <bottom/>
      <diagonal/>
    </border>
    <border diagonalUp="false" diagonalDown="false">
      <left style="medium">
        <color rgb="FF00B050"/>
      </left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>
        <color rgb="FF00B050"/>
      </right>
      <top/>
      <bottom style="medium"/>
      <diagonal/>
    </border>
    <border diagonalUp="false" diagonalDown="false">
      <left style="medium">
        <color rgb="FF00B050"/>
      </left>
      <right style="thin"/>
      <top style="medium"/>
      <bottom style="thin"/>
      <diagonal/>
    </border>
    <border diagonalUp="false" diagonalDown="false">
      <left style="thin"/>
      <right style="medium">
        <color rgb="FF00B050"/>
      </right>
      <top style="medium"/>
      <bottom style="thin"/>
      <diagonal/>
    </border>
    <border diagonalUp="false" diagonalDown="false">
      <left style="medium">
        <color rgb="FF00B050"/>
      </left>
      <right style="thin"/>
      <top style="thin"/>
      <bottom style="medium">
        <color rgb="FF00B050"/>
      </bottom>
      <diagonal/>
    </border>
    <border diagonalUp="false" diagonalDown="false">
      <left style="thin"/>
      <right style="thin"/>
      <top style="thin"/>
      <bottom style="medium">
        <color rgb="FF00B050"/>
      </bottom>
      <diagonal/>
    </border>
    <border diagonalUp="false" diagonalDown="false">
      <left style="thin"/>
      <right style="medium">
        <color rgb="FF00B050"/>
      </right>
      <top style="thin"/>
      <bottom style="medium">
        <color rgb="FF00B05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5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3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4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7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7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7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7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7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2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2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3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7" borderId="2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7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7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7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AEE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1E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33"/>
      <rgbColor rgb="FFFF6600"/>
      <rgbColor rgb="FF666699"/>
      <rgbColor rgb="FF969696"/>
      <rgbColor rgb="FF003366"/>
      <rgbColor rgb="FF00B050"/>
      <rgbColor rgb="FF003300"/>
      <rgbColor rgb="FF2753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4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20" activeCellId="0" sqref="C20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45.18"/>
    <col collapsed="false" customWidth="true" hidden="false" outlineLevel="0" max="3" min="3" style="1" width="18.37"/>
    <col collapsed="false" customWidth="true" hidden="false" outlineLevel="0" max="5" min="4" style="1" width="16.09"/>
    <col collapsed="false" customWidth="true" hidden="false" outlineLevel="0" max="6" min="6" style="1" width="15.82"/>
    <col collapsed="false" customWidth="true" hidden="false" outlineLevel="0" max="7" min="7" style="1" width="11.18"/>
    <col collapsed="false" customWidth="true" hidden="false" outlineLevel="0" max="8" min="8" style="1" width="20.63"/>
    <col collapsed="false" customWidth="true" hidden="false" outlineLevel="0" max="9" min="9" style="1" width="8.82"/>
    <col collapsed="false" customWidth="true" hidden="false" outlineLevel="0" max="10" min="10" style="1" width="11.91"/>
    <col collapsed="false" customWidth="true" hidden="false" outlineLevel="0" max="11" min="11" style="1" width="13.18"/>
    <col collapsed="false" customWidth="true" hidden="false" outlineLevel="0" max="13" min="13" style="1" width="18.37"/>
  </cols>
  <sheetData>
    <row r="1" customFormat="false" ht="14.25" hidden="false" customHeight="fals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</row>
    <row r="2" customFormat="false" ht="26.25" hidden="false" customHeight="true" outlineLevel="0" collapsed="false">
      <c r="D2" s="3" t="s">
        <v>1</v>
      </c>
      <c r="E2" s="3"/>
      <c r="F2" s="3"/>
      <c r="G2" s="3"/>
      <c r="H2" s="3"/>
      <c r="J2" s="4" t="s">
        <v>2</v>
      </c>
      <c r="K2" s="4"/>
      <c r="L2" s="4"/>
      <c r="M2" s="4"/>
      <c r="N2" s="4"/>
      <c r="O2" s="4"/>
    </row>
    <row r="3" customFormat="false" ht="14.25" hidden="false" customHeight="false" outlineLevel="0" collapsed="false">
      <c r="B3" s="5" t="s">
        <v>3</v>
      </c>
      <c r="C3" s="6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8" t="s">
        <v>10</v>
      </c>
      <c r="J3" s="7" t="s">
        <v>5</v>
      </c>
      <c r="K3" s="7" t="s">
        <v>6</v>
      </c>
      <c r="L3" s="7" t="s">
        <v>7</v>
      </c>
      <c r="M3" s="7" t="s">
        <v>8</v>
      </c>
      <c r="N3" s="7" t="s">
        <v>9</v>
      </c>
      <c r="O3" s="7" t="s">
        <v>11</v>
      </c>
    </row>
    <row r="4" customFormat="false" ht="14.25" hidden="false" customHeight="false" outlineLevel="0" collapsed="false">
      <c r="B4" s="6" t="s">
        <v>12</v>
      </c>
      <c r="C4" s="9" t="s">
        <v>13</v>
      </c>
      <c r="D4" s="10" t="n">
        <v>5</v>
      </c>
      <c r="E4" s="8"/>
      <c r="F4" s="8"/>
      <c r="G4" s="10" t="n">
        <v>5</v>
      </c>
      <c r="H4" s="8"/>
      <c r="I4" s="11" t="n">
        <v>1</v>
      </c>
      <c r="J4" s="10" t="n">
        <f aca="false">D4*$I4</f>
        <v>5</v>
      </c>
      <c r="K4" s="10" t="n">
        <f aca="false">E4*$I4</f>
        <v>0</v>
      </c>
      <c r="L4" s="10" t="n">
        <f aca="false">F4*$I4</f>
        <v>0</v>
      </c>
      <c r="M4" s="10" t="n">
        <f aca="false">G4*$I4</f>
        <v>5</v>
      </c>
      <c r="N4" s="10" t="n">
        <f aca="false">H4*$I4</f>
        <v>0</v>
      </c>
      <c r="O4" s="10" t="n">
        <f aca="false">SUM(J4:N4)</f>
        <v>10</v>
      </c>
    </row>
    <row r="5" customFormat="false" ht="14.25" hidden="false" customHeight="false" outlineLevel="0" collapsed="false">
      <c r="B5" s="6" t="s">
        <v>14</v>
      </c>
      <c r="C5" s="9" t="s">
        <v>15</v>
      </c>
      <c r="D5" s="10" t="n">
        <v>4</v>
      </c>
      <c r="E5" s="8"/>
      <c r="F5" s="8"/>
      <c r="G5" s="10" t="n">
        <v>4</v>
      </c>
      <c r="H5" s="8"/>
      <c r="I5" s="11" t="n">
        <v>2</v>
      </c>
      <c r="J5" s="10" t="n">
        <f aca="false">D5*$I5</f>
        <v>8</v>
      </c>
      <c r="K5" s="10" t="n">
        <f aca="false">E5*$I5</f>
        <v>0</v>
      </c>
      <c r="L5" s="10" t="n">
        <f aca="false">F5*$I5</f>
        <v>0</v>
      </c>
      <c r="M5" s="10" t="n">
        <f aca="false">G5*$I5</f>
        <v>8</v>
      </c>
      <c r="N5" s="10" t="n">
        <f aca="false">H5*$I5</f>
        <v>0</v>
      </c>
      <c r="O5" s="10" t="n">
        <f aca="false">SUM(J5:N5)</f>
        <v>16</v>
      </c>
    </row>
    <row r="6" customFormat="false" ht="14.25" hidden="false" customHeight="false" outlineLevel="0" collapsed="false">
      <c r="B6" s="6" t="s">
        <v>16</v>
      </c>
      <c r="C6" s="9" t="s">
        <v>17</v>
      </c>
      <c r="D6" s="10" t="n">
        <v>3</v>
      </c>
      <c r="E6" s="8"/>
      <c r="F6" s="8"/>
      <c r="G6" s="10" t="n">
        <v>3</v>
      </c>
      <c r="H6" s="8"/>
      <c r="I6" s="11" t="n">
        <v>3</v>
      </c>
      <c r="J6" s="10" t="n">
        <f aca="false">D6*$I6</f>
        <v>9</v>
      </c>
      <c r="K6" s="10" t="n">
        <f aca="false">E6*$I6</f>
        <v>0</v>
      </c>
      <c r="L6" s="10" t="n">
        <f aca="false">F6*$I6</f>
        <v>0</v>
      </c>
      <c r="M6" s="10" t="n">
        <f aca="false">G6*$I6</f>
        <v>9</v>
      </c>
      <c r="N6" s="10" t="n">
        <f aca="false">H6*$I6</f>
        <v>0</v>
      </c>
      <c r="O6" s="10" t="n">
        <f aca="false">SUM(J6:N6)</f>
        <v>18</v>
      </c>
    </row>
    <row r="7" customFormat="false" ht="14.25" hidden="false" customHeight="false" outlineLevel="0" collapsed="false">
      <c r="B7" s="6" t="s">
        <v>18</v>
      </c>
      <c r="C7" s="9" t="s">
        <v>19</v>
      </c>
      <c r="D7" s="10" t="n">
        <v>5</v>
      </c>
      <c r="E7" s="8"/>
      <c r="F7" s="8"/>
      <c r="G7" s="10" t="n">
        <v>5</v>
      </c>
      <c r="H7" s="8"/>
      <c r="I7" s="11" t="n">
        <v>5</v>
      </c>
      <c r="J7" s="10" t="n">
        <f aca="false">D7*$I7</f>
        <v>25</v>
      </c>
      <c r="K7" s="10" t="n">
        <f aca="false">E7*$I7</f>
        <v>0</v>
      </c>
      <c r="L7" s="10" t="n">
        <f aca="false">F7*$I7</f>
        <v>0</v>
      </c>
      <c r="M7" s="10" t="n">
        <f aca="false">G7*$I7</f>
        <v>25</v>
      </c>
      <c r="N7" s="10" t="n">
        <f aca="false">H7*$I7</f>
        <v>0</v>
      </c>
      <c r="O7" s="10" t="n">
        <f aca="false">SUM(J7:N7)</f>
        <v>50</v>
      </c>
    </row>
    <row r="8" customFormat="false" ht="14.25" hidden="false" customHeight="false" outlineLevel="0" collapsed="false">
      <c r="B8" s="6" t="s">
        <v>20</v>
      </c>
      <c r="C8" s="9" t="s">
        <v>19</v>
      </c>
      <c r="D8" s="10" t="n">
        <v>2</v>
      </c>
      <c r="E8" s="8"/>
      <c r="F8" s="8"/>
      <c r="G8" s="10" t="n">
        <v>2</v>
      </c>
      <c r="H8" s="8"/>
      <c r="I8" s="11" t="n">
        <v>5</v>
      </c>
      <c r="J8" s="10" t="n">
        <f aca="false">D8*$I8</f>
        <v>10</v>
      </c>
      <c r="K8" s="10" t="n">
        <f aca="false">E8*$I8</f>
        <v>0</v>
      </c>
      <c r="L8" s="10" t="n">
        <f aca="false">F8*$I8</f>
        <v>0</v>
      </c>
      <c r="M8" s="10" t="n">
        <f aca="false">G8*$I8</f>
        <v>10</v>
      </c>
      <c r="N8" s="10" t="n">
        <f aca="false">H8*$I8</f>
        <v>0</v>
      </c>
      <c r="O8" s="10" t="n">
        <f aca="false">SUM(J8:N8)</f>
        <v>20</v>
      </c>
    </row>
    <row r="9" customFormat="false" ht="14.25" hidden="false" customHeight="false" outlineLevel="0" collapsed="false">
      <c r="B9" s="6" t="s">
        <v>21</v>
      </c>
      <c r="C9" s="9" t="s">
        <v>22</v>
      </c>
      <c r="D9" s="10" t="n">
        <v>5</v>
      </c>
      <c r="E9" s="8"/>
      <c r="F9" s="8"/>
      <c r="G9" s="10" t="n">
        <v>5</v>
      </c>
      <c r="H9" s="8"/>
      <c r="I9" s="11" t="n">
        <v>10</v>
      </c>
      <c r="J9" s="10" t="n">
        <f aca="false">D9*$I9</f>
        <v>50</v>
      </c>
      <c r="K9" s="10" t="n">
        <f aca="false">E9*$I9</f>
        <v>0</v>
      </c>
      <c r="L9" s="10" t="n">
        <f aca="false">F9*$I9</f>
        <v>0</v>
      </c>
      <c r="M9" s="10" t="n">
        <f aca="false">G9*$I9</f>
        <v>50</v>
      </c>
      <c r="N9" s="10" t="n">
        <f aca="false">H9*$I9</f>
        <v>0</v>
      </c>
      <c r="O9" s="10" t="n">
        <f aca="false">SUM(J9:N9)</f>
        <v>100</v>
      </c>
    </row>
    <row r="10" customFormat="false" ht="16.4" hidden="false" customHeight="false" outlineLevel="0" collapsed="false">
      <c r="B10" s="6" t="s">
        <v>23</v>
      </c>
      <c r="C10" s="9" t="s">
        <v>24</v>
      </c>
      <c r="D10" s="10" t="n">
        <v>0</v>
      </c>
      <c r="E10" s="8"/>
      <c r="F10" s="8"/>
      <c r="G10" s="10" t="n">
        <v>5</v>
      </c>
      <c r="H10" s="8"/>
      <c r="I10" s="11" t="n">
        <v>100</v>
      </c>
      <c r="J10" s="10" t="n">
        <f aca="false">D10*$I10</f>
        <v>0</v>
      </c>
      <c r="K10" s="10" t="n">
        <f aca="false">E10*$I10</f>
        <v>0</v>
      </c>
      <c r="L10" s="10" t="n">
        <f aca="false">F10*$I10</f>
        <v>0</v>
      </c>
      <c r="M10" s="10" t="n">
        <f aca="false">G10*$I10</f>
        <v>500</v>
      </c>
      <c r="N10" s="10" t="n">
        <f aca="false">H10*$I10</f>
        <v>0</v>
      </c>
      <c r="O10" s="10" t="n">
        <f aca="false">SUM(J10:N10)</f>
        <v>500</v>
      </c>
    </row>
    <row r="11" customFormat="false" ht="14.25" hidden="false" customHeight="false" outlineLevel="0" collapsed="false">
      <c r="B11" s="6" t="s">
        <v>25</v>
      </c>
      <c r="C11" s="9"/>
      <c r="D11" s="12" t="n">
        <f aca="false">SUM(D4:D10)</f>
        <v>24</v>
      </c>
      <c r="E11" s="12" t="n">
        <f aca="false">SUM(E4:E10)</f>
        <v>0</v>
      </c>
      <c r="F11" s="12" t="n">
        <f aca="false">SUM(F4:F10)</f>
        <v>0</v>
      </c>
      <c r="G11" s="12" t="n">
        <f aca="false">SUM(G4:G10)</f>
        <v>29</v>
      </c>
      <c r="H11" s="12" t="n">
        <f aca="false">SUM(H4:H10)</f>
        <v>0</v>
      </c>
      <c r="I11" s="8"/>
      <c r="J11" s="12"/>
      <c r="K11" s="12"/>
      <c r="L11" s="12"/>
      <c r="M11" s="12"/>
      <c r="N11" s="12"/>
      <c r="O11" s="12"/>
    </row>
    <row r="12" customFormat="false" ht="14.25" hidden="false" customHeight="false" outlineLevel="0" collapsed="false">
      <c r="B12" s="13" t="s">
        <v>26</v>
      </c>
      <c r="C12" s="9"/>
      <c r="D12" s="12"/>
      <c r="E12" s="12"/>
      <c r="F12" s="12"/>
      <c r="G12" s="12"/>
      <c r="H12" s="12"/>
      <c r="I12" s="8"/>
      <c r="J12" s="12" t="n">
        <f aca="false">SUM(J4:J10)</f>
        <v>107</v>
      </c>
      <c r="K12" s="12" t="n">
        <f aca="false">SUM(K4:K10)</f>
        <v>0</v>
      </c>
      <c r="L12" s="12" t="n">
        <f aca="false">SUM(L4:L10)</f>
        <v>0</v>
      </c>
      <c r="M12" s="12" t="n">
        <f aca="false">SUM(M4:M10)</f>
        <v>607</v>
      </c>
      <c r="N12" s="12" t="n">
        <f aca="false">SUM(N4:N10)</f>
        <v>0</v>
      </c>
      <c r="O12" s="12" t="n">
        <f aca="false">SUM(O4:O10)</f>
        <v>714</v>
      </c>
    </row>
    <row r="13" customFormat="false" ht="14.25" hidden="false" customHeight="false" outlineLevel="0" collapsed="false">
      <c r="B13" s="14" t="s">
        <v>27</v>
      </c>
      <c r="C13" s="15" t="s">
        <v>28</v>
      </c>
      <c r="K13" s="16"/>
      <c r="L13" s="16"/>
      <c r="M13" s="16"/>
      <c r="N13" s="16"/>
      <c r="O13" s="16"/>
    </row>
    <row r="14" customFormat="false" ht="14.25" hidden="false" customHeight="false" outlineLevel="0" collapsed="false">
      <c r="B14" s="17" t="s">
        <v>29</v>
      </c>
      <c r="C14" s="18" t="n">
        <f aca="false">_xlfn.FLOOR.MATH($J12/2,10)</f>
        <v>50</v>
      </c>
      <c r="K14" s="16"/>
      <c r="L14" s="16"/>
      <c r="M14" s="16"/>
      <c r="N14" s="16"/>
      <c r="O14" s="16"/>
    </row>
    <row r="15" customFormat="false" ht="14.25" hidden="false" customHeight="false" outlineLevel="0" collapsed="false">
      <c r="B15" s="17" t="s">
        <v>30</v>
      </c>
      <c r="C15" s="18" t="n">
        <f aca="false">_xlfn.FLOOR.MATH($J12,10)</f>
        <v>100</v>
      </c>
      <c r="K15" s="16"/>
      <c r="L15" s="16"/>
      <c r="M15" s="16"/>
      <c r="N15" s="16"/>
      <c r="O15" s="16"/>
    </row>
    <row r="16" customFormat="false" ht="14.25" hidden="false" customHeight="false" outlineLevel="0" collapsed="false">
      <c r="B16" s="17" t="s">
        <v>31</v>
      </c>
      <c r="C16" s="19" t="n">
        <f aca="false">_xlfn.FLOOR.MATH($J12,10)*5</f>
        <v>500</v>
      </c>
    </row>
    <row r="18" customFormat="false" ht="14.25" hidden="false" customHeight="false" outlineLevel="0" collapsed="false">
      <c r="B18" s="20" t="s">
        <v>32</v>
      </c>
      <c r="C18" s="20"/>
      <c r="D18" s="20"/>
      <c r="E18" s="21" t="s">
        <v>33</v>
      </c>
      <c r="F18" s="21"/>
      <c r="G18" s="21"/>
      <c r="H18" s="21"/>
      <c r="I18" s="21"/>
      <c r="J18" s="21"/>
    </row>
    <row r="19" customFormat="false" ht="14.25" hidden="false" customHeight="false" outlineLevel="0" collapsed="false">
      <c r="B19" s="20" t="s">
        <v>34</v>
      </c>
      <c r="C19" s="20" t="s">
        <v>35</v>
      </c>
      <c r="D19" s="20" t="s">
        <v>36</v>
      </c>
      <c r="E19" s="20" t="s">
        <v>29</v>
      </c>
      <c r="F19" s="20" t="s">
        <v>30</v>
      </c>
      <c r="G19" s="20" t="s">
        <v>31</v>
      </c>
      <c r="H19" s="20" t="s">
        <v>9</v>
      </c>
      <c r="I19" s="20" t="s">
        <v>9</v>
      </c>
      <c r="J19" s="22" t="s">
        <v>11</v>
      </c>
    </row>
    <row r="20" customFormat="false" ht="14.25" hidden="false" customHeight="true" outlineLevel="0" collapsed="false">
      <c r="B20" s="23" t="s">
        <v>37</v>
      </c>
      <c r="C20" s="23" t="s">
        <v>38</v>
      </c>
      <c r="D20" s="20" t="s">
        <v>39</v>
      </c>
      <c r="E20" s="10" t="n">
        <v>100</v>
      </c>
      <c r="F20" s="10" t="n">
        <v>120</v>
      </c>
      <c r="G20" s="10" t="n">
        <v>100</v>
      </c>
      <c r="H20" s="10"/>
      <c r="I20" s="10"/>
      <c r="J20" s="24" t="n">
        <f aca="false">SUM(E20:I20)</f>
        <v>320</v>
      </c>
    </row>
    <row r="21" customFormat="false" ht="14.25" hidden="false" customHeight="false" outlineLevel="0" collapsed="false">
      <c r="B21" s="23"/>
      <c r="C21" s="23"/>
      <c r="D21" s="20" t="s">
        <v>40</v>
      </c>
      <c r="E21" s="10" t="n">
        <v>100</v>
      </c>
      <c r="F21" s="10" t="n">
        <v>120</v>
      </c>
      <c r="G21" s="10" t="n">
        <v>100</v>
      </c>
      <c r="H21" s="10"/>
      <c r="I21" s="10"/>
      <c r="J21" s="24" t="n">
        <f aca="false">SUM(E21:I21)</f>
        <v>320</v>
      </c>
    </row>
    <row r="22" customFormat="false" ht="14.25" hidden="false" customHeight="false" outlineLevel="0" collapsed="false">
      <c r="B22" s="23"/>
      <c r="C22" s="23"/>
      <c r="D22" s="20" t="s">
        <v>41</v>
      </c>
      <c r="E22" s="10" t="n">
        <v>100</v>
      </c>
      <c r="F22" s="10" t="n">
        <v>120</v>
      </c>
      <c r="G22" s="10" t="n">
        <v>100</v>
      </c>
      <c r="H22" s="10"/>
      <c r="I22" s="10"/>
      <c r="J22" s="24" t="n">
        <f aca="false">SUM(E22:I22)</f>
        <v>320</v>
      </c>
    </row>
    <row r="23" customFormat="false" ht="14.25" hidden="false" customHeight="true" outlineLevel="0" collapsed="false">
      <c r="B23" s="23"/>
      <c r="C23" s="23" t="s">
        <v>42</v>
      </c>
      <c r="D23" s="20" t="s">
        <v>43</v>
      </c>
      <c r="E23" s="10" t="n">
        <v>100</v>
      </c>
      <c r="F23" s="10" t="n">
        <v>120</v>
      </c>
      <c r="G23" s="10" t="n">
        <v>100</v>
      </c>
      <c r="H23" s="10"/>
      <c r="I23" s="10"/>
      <c r="J23" s="24" t="n">
        <f aca="false">SUM(E23:I23)</f>
        <v>320</v>
      </c>
    </row>
    <row r="24" customFormat="false" ht="14.25" hidden="false" customHeight="false" outlineLevel="0" collapsed="false">
      <c r="B24" s="23"/>
      <c r="C24" s="23"/>
      <c r="D24" s="20" t="s">
        <v>44</v>
      </c>
      <c r="E24" s="10" t="n">
        <v>100</v>
      </c>
      <c r="F24" s="10" t="n">
        <v>120</v>
      </c>
      <c r="G24" s="10" t="n">
        <v>100</v>
      </c>
      <c r="H24" s="10"/>
      <c r="I24" s="10"/>
      <c r="J24" s="24" t="n">
        <f aca="false">SUM(E24:I24)</f>
        <v>320</v>
      </c>
    </row>
    <row r="25" customFormat="false" ht="14.25" hidden="false" customHeight="false" outlineLevel="0" collapsed="false">
      <c r="B25" s="23"/>
      <c r="C25" s="23"/>
      <c r="D25" s="20" t="s">
        <v>45</v>
      </c>
      <c r="E25" s="10" t="n">
        <v>100</v>
      </c>
      <c r="F25" s="10" t="n">
        <v>120</v>
      </c>
      <c r="G25" s="10" t="n">
        <v>100</v>
      </c>
      <c r="H25" s="10"/>
      <c r="I25" s="10"/>
      <c r="J25" s="24" t="n">
        <f aca="false">SUM(E25:I25)</f>
        <v>320</v>
      </c>
    </row>
    <row r="26" customFormat="false" ht="14.25" hidden="false" customHeight="true" outlineLevel="0" collapsed="false">
      <c r="B26" s="23"/>
      <c r="C26" s="23" t="s">
        <v>46</v>
      </c>
      <c r="D26" s="20" t="s">
        <v>47</v>
      </c>
      <c r="E26" s="10" t="n">
        <v>100</v>
      </c>
      <c r="F26" s="10" t="n">
        <v>120</v>
      </c>
      <c r="G26" s="10" t="n">
        <v>100</v>
      </c>
      <c r="H26" s="10"/>
      <c r="I26" s="10"/>
      <c r="J26" s="24" t="n">
        <f aca="false">SUM(E26:I26)</f>
        <v>320</v>
      </c>
    </row>
    <row r="27" customFormat="false" ht="14.25" hidden="false" customHeight="false" outlineLevel="0" collapsed="false">
      <c r="B27" s="23"/>
      <c r="C27" s="23"/>
      <c r="D27" s="20" t="s">
        <v>48</v>
      </c>
      <c r="E27" s="10" t="n">
        <v>100</v>
      </c>
      <c r="F27" s="10" t="n">
        <v>120</v>
      </c>
      <c r="G27" s="10" t="n">
        <v>100</v>
      </c>
      <c r="H27" s="10"/>
      <c r="I27" s="10"/>
      <c r="J27" s="24" t="n">
        <f aca="false">SUM(E27:I27)</f>
        <v>320</v>
      </c>
    </row>
    <row r="28" customFormat="false" ht="14.25" hidden="false" customHeight="false" outlineLevel="0" collapsed="false">
      <c r="B28" s="23"/>
      <c r="C28" s="23"/>
      <c r="D28" s="20" t="s">
        <v>49</v>
      </c>
      <c r="E28" s="10" t="n">
        <v>100</v>
      </c>
      <c r="F28" s="10" t="n">
        <v>120</v>
      </c>
      <c r="G28" s="10" t="n">
        <v>100</v>
      </c>
      <c r="H28" s="10"/>
      <c r="I28" s="10"/>
      <c r="J28" s="24" t="n">
        <f aca="false">SUM(E28:I28)</f>
        <v>320</v>
      </c>
    </row>
    <row r="29" customFormat="false" ht="14.25" hidden="false" customHeight="true" outlineLevel="0" collapsed="false">
      <c r="B29" s="23"/>
      <c r="C29" s="25" t="s">
        <v>50</v>
      </c>
      <c r="D29" s="20"/>
      <c r="E29" s="10"/>
      <c r="F29" s="10"/>
      <c r="G29" s="10"/>
      <c r="H29" s="10"/>
      <c r="I29" s="10"/>
      <c r="J29" s="24" t="n">
        <f aca="false">SUM(E29:I29)</f>
        <v>0</v>
      </c>
    </row>
    <row r="30" customFormat="false" ht="14.25" hidden="false" customHeight="false" outlineLevel="0" collapsed="false">
      <c r="B30" s="23"/>
      <c r="C30" s="26"/>
      <c r="D30" s="20"/>
      <c r="E30" s="10"/>
      <c r="F30" s="10"/>
      <c r="G30" s="10"/>
      <c r="H30" s="10"/>
      <c r="I30" s="10"/>
      <c r="J30" s="24" t="n">
        <f aca="false">SUM(E30:I30)</f>
        <v>0</v>
      </c>
    </row>
    <row r="31" customFormat="false" ht="14.25" hidden="false" customHeight="false" outlineLevel="0" collapsed="false">
      <c r="B31" s="23"/>
      <c r="C31" s="27"/>
      <c r="D31" s="20"/>
      <c r="E31" s="10"/>
      <c r="F31" s="10"/>
      <c r="G31" s="10"/>
      <c r="H31" s="10"/>
      <c r="I31" s="10"/>
      <c r="J31" s="24" t="n">
        <f aca="false">SUM(E31:I31)</f>
        <v>0</v>
      </c>
    </row>
    <row r="32" customFormat="false" ht="14.25" hidden="false" customHeight="true" outlineLevel="0" collapsed="false">
      <c r="B32" s="23"/>
      <c r="C32" s="25" t="s">
        <v>50</v>
      </c>
      <c r="D32" s="20"/>
      <c r="E32" s="10"/>
      <c r="F32" s="10"/>
      <c r="G32" s="10"/>
      <c r="H32" s="10"/>
      <c r="I32" s="10"/>
      <c r="J32" s="24" t="n">
        <f aca="false">SUM(E32:I32)</f>
        <v>0</v>
      </c>
    </row>
    <row r="33" customFormat="false" ht="14.25" hidden="false" customHeight="false" outlineLevel="0" collapsed="false">
      <c r="B33" s="23"/>
      <c r="C33" s="26"/>
      <c r="D33" s="20"/>
      <c r="E33" s="10"/>
      <c r="F33" s="10"/>
      <c r="G33" s="10"/>
      <c r="H33" s="10"/>
      <c r="I33" s="10"/>
      <c r="J33" s="24" t="n">
        <f aca="false">SUM(E33:I33)</f>
        <v>0</v>
      </c>
    </row>
    <row r="34" customFormat="false" ht="14.25" hidden="false" customHeight="false" outlineLevel="0" collapsed="false">
      <c r="B34" s="23"/>
      <c r="C34" s="27"/>
      <c r="D34" s="20"/>
      <c r="E34" s="10"/>
      <c r="F34" s="10"/>
      <c r="G34" s="10"/>
      <c r="H34" s="10"/>
      <c r="I34" s="10"/>
      <c r="J34" s="24" t="n">
        <f aca="false">SUM(E34:I34)</f>
        <v>0</v>
      </c>
    </row>
    <row r="35" customFormat="false" ht="14.25" hidden="false" customHeight="true" outlineLevel="0" collapsed="false">
      <c r="B35" s="23"/>
      <c r="C35" s="25" t="s">
        <v>50</v>
      </c>
      <c r="D35" s="20"/>
      <c r="E35" s="10"/>
      <c r="F35" s="10"/>
      <c r="G35" s="10"/>
      <c r="H35" s="10"/>
      <c r="I35" s="10"/>
      <c r="J35" s="24" t="n">
        <f aca="false">SUM(E35:I35)</f>
        <v>0</v>
      </c>
    </row>
    <row r="36" customFormat="false" ht="14.25" hidden="false" customHeight="false" outlineLevel="0" collapsed="false">
      <c r="B36" s="23"/>
      <c r="C36" s="26"/>
      <c r="D36" s="20"/>
      <c r="E36" s="10"/>
      <c r="F36" s="10"/>
      <c r="G36" s="10"/>
      <c r="H36" s="10"/>
      <c r="I36" s="10"/>
      <c r="J36" s="24" t="n">
        <f aca="false">SUM(E36:I36)</f>
        <v>0</v>
      </c>
    </row>
    <row r="37" customFormat="false" ht="14.25" hidden="false" customHeight="false" outlineLevel="0" collapsed="false">
      <c r="B37" s="23"/>
      <c r="C37" s="27"/>
      <c r="D37" s="20"/>
      <c r="E37" s="10"/>
      <c r="F37" s="10"/>
      <c r="G37" s="10"/>
      <c r="H37" s="10"/>
      <c r="I37" s="10"/>
      <c r="J37" s="24" t="n">
        <f aca="false">SUM(E37:I37)</f>
        <v>0</v>
      </c>
    </row>
    <row r="38" customFormat="false" ht="16.4" hidden="false" customHeight="false" outlineLevel="0" collapsed="false">
      <c r="B38" s="23"/>
      <c r="C38" s="25" t="s">
        <v>50</v>
      </c>
      <c r="D38" s="20"/>
      <c r="E38" s="10"/>
      <c r="F38" s="10"/>
      <c r="G38" s="10"/>
      <c r="H38" s="10"/>
      <c r="I38" s="10"/>
      <c r="J38" s="24" t="n">
        <f aca="false">SUM(E38:I38)</f>
        <v>0</v>
      </c>
    </row>
    <row r="39" customFormat="false" ht="14.25" hidden="false" customHeight="false" outlineLevel="0" collapsed="false">
      <c r="B39" s="23"/>
      <c r="C39" s="26"/>
      <c r="D39" s="20"/>
      <c r="E39" s="10"/>
      <c r="F39" s="10"/>
      <c r="G39" s="10"/>
      <c r="H39" s="10"/>
      <c r="I39" s="10"/>
      <c r="J39" s="24" t="n">
        <f aca="false">SUM(E39:I39)</f>
        <v>0</v>
      </c>
    </row>
    <row r="40" customFormat="false" ht="14.25" hidden="false" customHeight="false" outlineLevel="0" collapsed="false">
      <c r="B40" s="23"/>
      <c r="C40" s="27"/>
      <c r="D40" s="20"/>
      <c r="E40" s="10"/>
      <c r="F40" s="10"/>
      <c r="G40" s="10"/>
      <c r="H40" s="10"/>
      <c r="I40" s="10"/>
      <c r="J40" s="24" t="n">
        <f aca="false">SUM(E40:I40)</f>
        <v>0</v>
      </c>
    </row>
    <row r="41" customFormat="false" ht="14.25" hidden="false" customHeight="false" outlineLevel="0" collapsed="false">
      <c r="B41" s="20" t="s">
        <v>51</v>
      </c>
      <c r="C41" s="20"/>
      <c r="D41" s="20"/>
      <c r="E41" s="28" t="n">
        <f aca="false">SUM(E20:E40)</f>
        <v>900</v>
      </c>
      <c r="F41" s="28" t="n">
        <f aca="false">SUM(F20:F40)</f>
        <v>1080</v>
      </c>
      <c r="G41" s="28" t="n">
        <f aca="false">SUM(G20:G40)</f>
        <v>900</v>
      </c>
      <c r="H41" s="28" t="n">
        <f aca="false">SUM(H20:H40)</f>
        <v>0</v>
      </c>
      <c r="I41" s="28" t="n">
        <f aca="false">SUM(I20:I40)</f>
        <v>0</v>
      </c>
      <c r="J41" s="29" t="n">
        <f aca="false">SUM(E41:I41)</f>
        <v>2880</v>
      </c>
    </row>
    <row r="42" customFormat="false" ht="14.25" hidden="false" customHeight="false" outlineLevel="0" collapsed="false">
      <c r="B42" s="20" t="s">
        <v>52</v>
      </c>
      <c r="C42" s="20"/>
      <c r="D42" s="20"/>
      <c r="E42" s="28" t="n">
        <f aca="false">SUM(E20:E40)*$C$14/2</f>
        <v>22500</v>
      </c>
      <c r="F42" s="28" t="n">
        <f aca="false">SUM(F20:F40)*$C$15</f>
        <v>108000</v>
      </c>
      <c r="G42" s="28" t="n">
        <f aca="false">SUM(G20:G40)*$C$16</f>
        <v>450000</v>
      </c>
      <c r="H42" s="28" t="n">
        <f aca="false">SUM(H20:H40)</f>
        <v>0</v>
      </c>
      <c r="I42" s="28" t="n">
        <f aca="false">SUM(I20:I40)</f>
        <v>0</v>
      </c>
      <c r="J42" s="29" t="n">
        <f aca="false">SUM(E42:I42)</f>
        <v>580500</v>
      </c>
    </row>
    <row r="43" customFormat="false" ht="14.25" hidden="false" customHeight="true" outlineLevel="0" collapsed="false">
      <c r="B43" s="23" t="s">
        <v>53</v>
      </c>
      <c r="C43" s="23" t="s">
        <v>54</v>
      </c>
      <c r="D43" s="20" t="s">
        <v>39</v>
      </c>
      <c r="E43" s="10" t="n">
        <v>100</v>
      </c>
      <c r="F43" s="10" t="n">
        <v>120</v>
      </c>
      <c r="G43" s="10" t="n">
        <v>100</v>
      </c>
      <c r="H43" s="10"/>
      <c r="I43" s="10"/>
      <c r="J43" s="24" t="n">
        <f aca="false">SUM(E43:I43)</f>
        <v>320</v>
      </c>
    </row>
    <row r="44" customFormat="false" ht="14.25" hidden="false" customHeight="false" outlineLevel="0" collapsed="false">
      <c r="B44" s="23"/>
      <c r="C44" s="23"/>
      <c r="D44" s="20" t="s">
        <v>40</v>
      </c>
      <c r="E44" s="10" t="n">
        <v>100</v>
      </c>
      <c r="F44" s="10" t="n">
        <v>120</v>
      </c>
      <c r="G44" s="10" t="n">
        <v>100</v>
      </c>
      <c r="H44" s="10"/>
      <c r="I44" s="10"/>
      <c r="J44" s="24" t="n">
        <f aca="false">SUM(E44:I44)</f>
        <v>320</v>
      </c>
    </row>
    <row r="45" customFormat="false" ht="14.25" hidden="false" customHeight="false" outlineLevel="0" collapsed="false">
      <c r="B45" s="23"/>
      <c r="C45" s="23"/>
      <c r="D45" s="20" t="s">
        <v>41</v>
      </c>
      <c r="E45" s="10" t="n">
        <v>100</v>
      </c>
      <c r="F45" s="10" t="n">
        <v>120</v>
      </c>
      <c r="G45" s="10" t="n">
        <v>100</v>
      </c>
      <c r="H45" s="10"/>
      <c r="I45" s="10"/>
      <c r="J45" s="24" t="n">
        <f aca="false">SUM(E45:I45)</f>
        <v>320</v>
      </c>
    </row>
    <row r="46" customFormat="false" ht="14.25" hidden="false" customHeight="true" outlineLevel="0" collapsed="false">
      <c r="B46" s="23"/>
      <c r="C46" s="23" t="s">
        <v>55</v>
      </c>
      <c r="D46" s="20" t="s">
        <v>43</v>
      </c>
      <c r="E46" s="10" t="n">
        <v>100</v>
      </c>
      <c r="F46" s="10" t="n">
        <v>120</v>
      </c>
      <c r="G46" s="10" t="n">
        <v>100</v>
      </c>
      <c r="H46" s="10"/>
      <c r="I46" s="10"/>
      <c r="J46" s="24" t="n">
        <f aca="false">SUM(E46:I46)</f>
        <v>320</v>
      </c>
    </row>
    <row r="47" customFormat="false" ht="14.25" hidden="false" customHeight="false" outlineLevel="0" collapsed="false">
      <c r="B47" s="23"/>
      <c r="C47" s="23"/>
      <c r="D47" s="20" t="s">
        <v>44</v>
      </c>
      <c r="E47" s="10" t="n">
        <v>100</v>
      </c>
      <c r="F47" s="10" t="n">
        <v>120</v>
      </c>
      <c r="G47" s="10" t="n">
        <v>100</v>
      </c>
      <c r="H47" s="10"/>
      <c r="I47" s="10"/>
      <c r="J47" s="24" t="n">
        <f aca="false">SUM(E47:I47)</f>
        <v>320</v>
      </c>
    </row>
    <row r="48" customFormat="false" ht="14.25" hidden="false" customHeight="false" outlineLevel="0" collapsed="false">
      <c r="B48" s="23"/>
      <c r="C48" s="23"/>
      <c r="D48" s="20" t="s">
        <v>45</v>
      </c>
      <c r="E48" s="10" t="n">
        <v>100</v>
      </c>
      <c r="F48" s="10" t="n">
        <v>120</v>
      </c>
      <c r="G48" s="10" t="n">
        <v>100</v>
      </c>
      <c r="H48" s="10"/>
      <c r="I48" s="10"/>
      <c r="J48" s="24" t="n">
        <f aca="false">SUM(E48:I48)</f>
        <v>320</v>
      </c>
    </row>
    <row r="49" customFormat="false" ht="14.25" hidden="false" customHeight="true" outlineLevel="0" collapsed="false">
      <c r="B49" s="23"/>
      <c r="C49" s="23" t="s">
        <v>56</v>
      </c>
      <c r="D49" s="20" t="s">
        <v>47</v>
      </c>
      <c r="E49" s="10" t="n">
        <v>100</v>
      </c>
      <c r="F49" s="10" t="n">
        <v>120</v>
      </c>
      <c r="G49" s="10" t="n">
        <v>100</v>
      </c>
      <c r="H49" s="10"/>
      <c r="I49" s="10"/>
      <c r="J49" s="24" t="n">
        <f aca="false">SUM(E49:I49)</f>
        <v>320</v>
      </c>
    </row>
    <row r="50" customFormat="false" ht="14.25" hidden="false" customHeight="false" outlineLevel="0" collapsed="false">
      <c r="B50" s="23"/>
      <c r="C50" s="23"/>
      <c r="D50" s="20" t="s">
        <v>48</v>
      </c>
      <c r="E50" s="10" t="n">
        <v>100</v>
      </c>
      <c r="F50" s="10" t="n">
        <v>120</v>
      </c>
      <c r="G50" s="10" t="n">
        <v>100</v>
      </c>
      <c r="H50" s="10"/>
      <c r="I50" s="10"/>
      <c r="J50" s="24" t="n">
        <f aca="false">SUM(E50:I50)</f>
        <v>320</v>
      </c>
    </row>
    <row r="51" customFormat="false" ht="14.25" hidden="false" customHeight="false" outlineLevel="0" collapsed="false">
      <c r="B51" s="23"/>
      <c r="C51" s="23"/>
      <c r="D51" s="20" t="s">
        <v>49</v>
      </c>
      <c r="E51" s="10" t="n">
        <v>100</v>
      </c>
      <c r="F51" s="10" t="n">
        <v>120</v>
      </c>
      <c r="G51" s="10" t="n">
        <v>100</v>
      </c>
      <c r="H51" s="10"/>
      <c r="I51" s="10"/>
      <c r="J51" s="24" t="n">
        <f aca="false">SUM(E51:I51)</f>
        <v>320</v>
      </c>
    </row>
    <row r="52" customFormat="false" ht="14.25" hidden="false" customHeight="true" outlineLevel="0" collapsed="false">
      <c r="B52" s="23"/>
      <c r="C52" s="25" t="s">
        <v>50</v>
      </c>
      <c r="D52" s="20"/>
      <c r="E52" s="10"/>
      <c r="F52" s="10"/>
      <c r="G52" s="10"/>
      <c r="H52" s="10"/>
      <c r="I52" s="10"/>
      <c r="J52" s="24" t="n">
        <f aca="false">SUM(E52:I52)</f>
        <v>0</v>
      </c>
    </row>
    <row r="53" customFormat="false" ht="14.25" hidden="false" customHeight="false" outlineLevel="0" collapsed="false">
      <c r="B53" s="23"/>
      <c r="C53" s="26"/>
      <c r="D53" s="20"/>
      <c r="E53" s="10"/>
      <c r="F53" s="10"/>
      <c r="G53" s="10"/>
      <c r="H53" s="10"/>
      <c r="I53" s="10"/>
      <c r="J53" s="24" t="n">
        <f aca="false">SUM(E53:I53)</f>
        <v>0</v>
      </c>
    </row>
    <row r="54" customFormat="false" ht="14.25" hidden="false" customHeight="false" outlineLevel="0" collapsed="false">
      <c r="B54" s="23"/>
      <c r="C54" s="27"/>
      <c r="D54" s="20"/>
      <c r="E54" s="10"/>
      <c r="F54" s="10"/>
      <c r="G54" s="10"/>
      <c r="H54" s="10"/>
      <c r="I54" s="10"/>
      <c r="J54" s="24" t="n">
        <f aca="false">SUM(E54:I54)</f>
        <v>0</v>
      </c>
    </row>
    <row r="55" customFormat="false" ht="14.25" hidden="false" customHeight="true" outlineLevel="0" collapsed="false">
      <c r="B55" s="23"/>
      <c r="C55" s="25" t="s">
        <v>50</v>
      </c>
      <c r="D55" s="20"/>
      <c r="E55" s="10"/>
      <c r="F55" s="10"/>
      <c r="G55" s="10"/>
      <c r="H55" s="10"/>
      <c r="I55" s="10"/>
      <c r="J55" s="24" t="n">
        <f aca="false">SUM(E55:I55)</f>
        <v>0</v>
      </c>
    </row>
    <row r="56" customFormat="false" ht="14.25" hidden="false" customHeight="false" outlineLevel="0" collapsed="false">
      <c r="B56" s="23"/>
      <c r="C56" s="26"/>
      <c r="D56" s="20"/>
      <c r="E56" s="10"/>
      <c r="F56" s="10"/>
      <c r="G56" s="10"/>
      <c r="H56" s="10"/>
      <c r="I56" s="10"/>
      <c r="J56" s="24" t="n">
        <f aca="false">SUM(E56:I56)</f>
        <v>0</v>
      </c>
    </row>
    <row r="57" customFormat="false" ht="14.25" hidden="false" customHeight="false" outlineLevel="0" collapsed="false">
      <c r="B57" s="23"/>
      <c r="C57" s="27"/>
      <c r="D57" s="20"/>
      <c r="E57" s="10"/>
      <c r="F57" s="10"/>
      <c r="G57" s="10"/>
      <c r="H57" s="10"/>
      <c r="I57" s="10"/>
      <c r="J57" s="24" t="n">
        <f aca="false">SUM(E57:I57)</f>
        <v>0</v>
      </c>
    </row>
    <row r="58" customFormat="false" ht="14.25" hidden="false" customHeight="true" outlineLevel="0" collapsed="false">
      <c r="B58" s="23"/>
      <c r="C58" s="25" t="s">
        <v>50</v>
      </c>
      <c r="D58" s="20"/>
      <c r="E58" s="10"/>
      <c r="F58" s="10"/>
      <c r="G58" s="10"/>
      <c r="H58" s="10"/>
      <c r="I58" s="10"/>
      <c r="J58" s="24" t="n">
        <f aca="false">SUM(E58:I58)</f>
        <v>0</v>
      </c>
    </row>
    <row r="59" customFormat="false" ht="14.25" hidden="false" customHeight="false" outlineLevel="0" collapsed="false">
      <c r="B59" s="23"/>
      <c r="C59" s="26"/>
      <c r="D59" s="20"/>
      <c r="E59" s="10"/>
      <c r="F59" s="10"/>
      <c r="G59" s="10"/>
      <c r="H59" s="10"/>
      <c r="I59" s="10"/>
      <c r="J59" s="24" t="n">
        <f aca="false">SUM(E59:I59)</f>
        <v>0</v>
      </c>
    </row>
    <row r="60" customFormat="false" ht="14.25" hidden="false" customHeight="false" outlineLevel="0" collapsed="false">
      <c r="B60" s="23"/>
      <c r="C60" s="27"/>
      <c r="D60" s="20"/>
      <c r="E60" s="10"/>
      <c r="F60" s="10"/>
      <c r="G60" s="10"/>
      <c r="H60" s="10"/>
      <c r="I60" s="10"/>
      <c r="J60" s="24" t="n">
        <f aca="false">SUM(E60:I60)</f>
        <v>0</v>
      </c>
    </row>
    <row r="61" customFormat="false" ht="16.4" hidden="false" customHeight="false" outlineLevel="0" collapsed="false">
      <c r="B61" s="23"/>
      <c r="C61" s="25" t="s">
        <v>50</v>
      </c>
      <c r="D61" s="20"/>
      <c r="E61" s="10"/>
      <c r="F61" s="10"/>
      <c r="G61" s="10"/>
      <c r="H61" s="10"/>
      <c r="I61" s="10"/>
      <c r="J61" s="24" t="n">
        <f aca="false">SUM(E61:I61)</f>
        <v>0</v>
      </c>
    </row>
    <row r="62" customFormat="false" ht="14.25" hidden="false" customHeight="false" outlineLevel="0" collapsed="false">
      <c r="B62" s="23"/>
      <c r="C62" s="26"/>
      <c r="D62" s="20"/>
      <c r="E62" s="10"/>
      <c r="F62" s="10"/>
      <c r="G62" s="10"/>
      <c r="H62" s="10"/>
      <c r="I62" s="10"/>
      <c r="J62" s="24" t="n">
        <f aca="false">SUM(E62:I62)</f>
        <v>0</v>
      </c>
    </row>
    <row r="63" customFormat="false" ht="14.25" hidden="false" customHeight="false" outlineLevel="0" collapsed="false">
      <c r="B63" s="23"/>
      <c r="C63" s="27"/>
      <c r="D63" s="20"/>
      <c r="E63" s="10"/>
      <c r="F63" s="10"/>
      <c r="G63" s="10"/>
      <c r="H63" s="10"/>
      <c r="I63" s="10"/>
      <c r="J63" s="24" t="n">
        <f aca="false">SUM(E63:I63)</f>
        <v>0</v>
      </c>
    </row>
    <row r="64" customFormat="false" ht="14.25" hidden="false" customHeight="false" outlineLevel="0" collapsed="false">
      <c r="B64" s="20" t="s">
        <v>57</v>
      </c>
      <c r="C64" s="20"/>
      <c r="D64" s="20"/>
      <c r="E64" s="28" t="n">
        <f aca="false">SUM(E43:E63)</f>
        <v>900</v>
      </c>
      <c r="F64" s="28" t="n">
        <f aca="false">SUM(F43:F63)</f>
        <v>1080</v>
      </c>
      <c r="G64" s="28" t="n">
        <f aca="false">SUM(G43:G63)</f>
        <v>900</v>
      </c>
      <c r="H64" s="28" t="n">
        <f aca="false">SUM(H43:H63)</f>
        <v>0</v>
      </c>
      <c r="I64" s="28" t="n">
        <f aca="false">SUM(I43:I63)</f>
        <v>0</v>
      </c>
      <c r="J64" s="29" t="n">
        <f aca="false">SUM(E64:I64)</f>
        <v>2880</v>
      </c>
    </row>
    <row r="65" customFormat="false" ht="14.25" hidden="false" customHeight="false" outlineLevel="0" collapsed="false">
      <c r="B65" s="20" t="s">
        <v>58</v>
      </c>
      <c r="C65" s="20"/>
      <c r="D65" s="20"/>
      <c r="E65" s="28" t="n">
        <f aca="false">SUM(E43:E63)*$C$14/2</f>
        <v>22500</v>
      </c>
      <c r="F65" s="28" t="n">
        <f aca="false">SUM(F43:F63)*$C$15</f>
        <v>108000</v>
      </c>
      <c r="G65" s="28" t="n">
        <f aca="false">SUM(G43:G63)*$C$16</f>
        <v>450000</v>
      </c>
      <c r="H65" s="28" t="n">
        <f aca="false">SUM(H43:H63)</f>
        <v>0</v>
      </c>
      <c r="I65" s="28" t="n">
        <f aca="false">SUM(I43:I63)</f>
        <v>0</v>
      </c>
      <c r="J65" s="29" t="n">
        <f aca="false">SUM(E65:I65)</f>
        <v>580500</v>
      </c>
    </row>
    <row r="66" customFormat="false" ht="14.25" hidden="false" customHeight="true" outlineLevel="0" collapsed="false">
      <c r="B66" s="23" t="s">
        <v>59</v>
      </c>
      <c r="C66" s="23" t="s">
        <v>54</v>
      </c>
      <c r="D66" s="20" t="s">
        <v>39</v>
      </c>
      <c r="E66" s="10" t="n">
        <v>100</v>
      </c>
      <c r="F66" s="10" t="n">
        <v>120</v>
      </c>
      <c r="G66" s="10" t="n">
        <v>100</v>
      </c>
      <c r="H66" s="10"/>
      <c r="I66" s="10"/>
      <c r="J66" s="24" t="n">
        <f aca="false">SUM(E66:I66)</f>
        <v>320</v>
      </c>
    </row>
    <row r="67" customFormat="false" ht="14.25" hidden="false" customHeight="false" outlineLevel="0" collapsed="false">
      <c r="B67" s="23"/>
      <c r="C67" s="23"/>
      <c r="D67" s="20" t="s">
        <v>40</v>
      </c>
      <c r="E67" s="10" t="n">
        <v>100</v>
      </c>
      <c r="F67" s="10" t="n">
        <v>120</v>
      </c>
      <c r="G67" s="10" t="n">
        <v>100</v>
      </c>
      <c r="H67" s="10"/>
      <c r="I67" s="10"/>
      <c r="J67" s="24" t="n">
        <f aca="false">SUM(E67:I67)</f>
        <v>320</v>
      </c>
    </row>
    <row r="68" customFormat="false" ht="14.25" hidden="false" customHeight="false" outlineLevel="0" collapsed="false">
      <c r="B68" s="23"/>
      <c r="C68" s="23"/>
      <c r="D68" s="20" t="s">
        <v>41</v>
      </c>
      <c r="E68" s="10" t="n">
        <v>100</v>
      </c>
      <c r="F68" s="10" t="n">
        <v>120</v>
      </c>
      <c r="G68" s="10" t="n">
        <v>100</v>
      </c>
      <c r="H68" s="10"/>
      <c r="I68" s="10"/>
      <c r="J68" s="24" t="n">
        <f aca="false">SUM(E68:I68)</f>
        <v>320</v>
      </c>
    </row>
    <row r="69" customFormat="false" ht="14.25" hidden="false" customHeight="true" outlineLevel="0" collapsed="false">
      <c r="B69" s="23"/>
      <c r="C69" s="23" t="s">
        <v>55</v>
      </c>
      <c r="D69" s="20" t="s">
        <v>43</v>
      </c>
      <c r="E69" s="10" t="n">
        <v>100</v>
      </c>
      <c r="F69" s="10" t="n">
        <v>120</v>
      </c>
      <c r="G69" s="10" t="n">
        <v>100</v>
      </c>
      <c r="H69" s="10"/>
      <c r="I69" s="10"/>
      <c r="J69" s="24" t="n">
        <f aca="false">SUM(E69:I69)</f>
        <v>320</v>
      </c>
    </row>
    <row r="70" customFormat="false" ht="14.25" hidden="false" customHeight="false" outlineLevel="0" collapsed="false">
      <c r="B70" s="23"/>
      <c r="C70" s="23"/>
      <c r="D70" s="20" t="s">
        <v>44</v>
      </c>
      <c r="E70" s="10" t="n">
        <v>100</v>
      </c>
      <c r="F70" s="10" t="n">
        <v>120</v>
      </c>
      <c r="G70" s="10" t="n">
        <v>100</v>
      </c>
      <c r="H70" s="10"/>
      <c r="I70" s="10"/>
      <c r="J70" s="24" t="n">
        <f aca="false">SUM(E70:I70)</f>
        <v>320</v>
      </c>
    </row>
    <row r="71" customFormat="false" ht="14.25" hidden="false" customHeight="false" outlineLevel="0" collapsed="false">
      <c r="B71" s="23"/>
      <c r="C71" s="23"/>
      <c r="D71" s="20" t="s">
        <v>45</v>
      </c>
      <c r="E71" s="10" t="n">
        <v>100</v>
      </c>
      <c r="F71" s="10" t="n">
        <v>120</v>
      </c>
      <c r="G71" s="10" t="n">
        <v>100</v>
      </c>
      <c r="H71" s="10"/>
      <c r="I71" s="10"/>
      <c r="J71" s="24" t="n">
        <f aca="false">SUM(E71:I71)</f>
        <v>320</v>
      </c>
    </row>
    <row r="72" customFormat="false" ht="14.25" hidden="false" customHeight="true" outlineLevel="0" collapsed="false">
      <c r="B72" s="23"/>
      <c r="C72" s="23" t="s">
        <v>56</v>
      </c>
      <c r="D72" s="20" t="s">
        <v>47</v>
      </c>
      <c r="E72" s="10" t="n">
        <v>100</v>
      </c>
      <c r="F72" s="10" t="n">
        <v>120</v>
      </c>
      <c r="G72" s="10" t="n">
        <v>100</v>
      </c>
      <c r="H72" s="10"/>
      <c r="I72" s="10"/>
      <c r="J72" s="24" t="n">
        <f aca="false">SUM(E72:I72)</f>
        <v>320</v>
      </c>
    </row>
    <row r="73" customFormat="false" ht="14.25" hidden="false" customHeight="false" outlineLevel="0" collapsed="false">
      <c r="B73" s="23"/>
      <c r="C73" s="23"/>
      <c r="D73" s="20" t="s">
        <v>48</v>
      </c>
      <c r="E73" s="10" t="n">
        <v>100</v>
      </c>
      <c r="F73" s="10" t="n">
        <v>120</v>
      </c>
      <c r="G73" s="10" t="n">
        <v>100</v>
      </c>
      <c r="H73" s="10"/>
      <c r="I73" s="10"/>
      <c r="J73" s="24" t="n">
        <f aca="false">SUM(E73:I73)</f>
        <v>320</v>
      </c>
    </row>
    <row r="74" customFormat="false" ht="14.25" hidden="false" customHeight="false" outlineLevel="0" collapsed="false">
      <c r="B74" s="23"/>
      <c r="C74" s="23"/>
      <c r="D74" s="20" t="s">
        <v>49</v>
      </c>
      <c r="E74" s="10" t="n">
        <v>100</v>
      </c>
      <c r="F74" s="10" t="n">
        <v>120</v>
      </c>
      <c r="G74" s="10" t="n">
        <v>100</v>
      </c>
      <c r="H74" s="10"/>
      <c r="I74" s="10"/>
      <c r="J74" s="24" t="n">
        <f aca="false">SUM(E74:I74)</f>
        <v>320</v>
      </c>
    </row>
    <row r="75" customFormat="false" ht="14.25" hidden="false" customHeight="true" outlineLevel="0" collapsed="false">
      <c r="B75" s="23"/>
      <c r="C75" s="25" t="s">
        <v>50</v>
      </c>
      <c r="D75" s="20"/>
      <c r="E75" s="10"/>
      <c r="F75" s="10"/>
      <c r="G75" s="10"/>
      <c r="H75" s="10"/>
      <c r="I75" s="10"/>
      <c r="J75" s="24" t="n">
        <f aca="false">SUM(E75:I75)</f>
        <v>0</v>
      </c>
    </row>
    <row r="76" customFormat="false" ht="14.25" hidden="false" customHeight="false" outlineLevel="0" collapsed="false">
      <c r="B76" s="23"/>
      <c r="C76" s="26"/>
      <c r="D76" s="20"/>
      <c r="E76" s="10"/>
      <c r="F76" s="10"/>
      <c r="G76" s="10"/>
      <c r="H76" s="10"/>
      <c r="I76" s="10"/>
      <c r="J76" s="24" t="n">
        <f aca="false">SUM(E76:I76)</f>
        <v>0</v>
      </c>
    </row>
    <row r="77" customFormat="false" ht="14.25" hidden="false" customHeight="false" outlineLevel="0" collapsed="false">
      <c r="B77" s="23"/>
      <c r="C77" s="27"/>
      <c r="D77" s="20"/>
      <c r="E77" s="10"/>
      <c r="F77" s="10"/>
      <c r="G77" s="10"/>
      <c r="H77" s="10"/>
      <c r="I77" s="10"/>
      <c r="J77" s="24" t="n">
        <f aca="false">SUM(E77:I77)</f>
        <v>0</v>
      </c>
    </row>
    <row r="78" customFormat="false" ht="14.25" hidden="false" customHeight="true" outlineLevel="0" collapsed="false">
      <c r="B78" s="23"/>
      <c r="C78" s="25" t="s">
        <v>50</v>
      </c>
      <c r="D78" s="20"/>
      <c r="E78" s="10"/>
      <c r="F78" s="10"/>
      <c r="G78" s="10"/>
      <c r="H78" s="10"/>
      <c r="I78" s="10"/>
      <c r="J78" s="24" t="n">
        <f aca="false">SUM(E78:I78)</f>
        <v>0</v>
      </c>
    </row>
    <row r="79" customFormat="false" ht="14.25" hidden="false" customHeight="false" outlineLevel="0" collapsed="false">
      <c r="B79" s="23"/>
      <c r="C79" s="26"/>
      <c r="D79" s="20"/>
      <c r="E79" s="10"/>
      <c r="F79" s="10"/>
      <c r="G79" s="10"/>
      <c r="H79" s="10"/>
      <c r="I79" s="10"/>
      <c r="J79" s="24" t="n">
        <f aca="false">SUM(E79:I79)</f>
        <v>0</v>
      </c>
    </row>
    <row r="80" customFormat="false" ht="14.25" hidden="false" customHeight="false" outlineLevel="0" collapsed="false">
      <c r="B80" s="23"/>
      <c r="C80" s="27"/>
      <c r="D80" s="20"/>
      <c r="E80" s="10"/>
      <c r="F80" s="10"/>
      <c r="G80" s="10"/>
      <c r="H80" s="10"/>
      <c r="I80" s="10"/>
      <c r="J80" s="24" t="n">
        <f aca="false">SUM(E80:I80)</f>
        <v>0</v>
      </c>
    </row>
    <row r="81" customFormat="false" ht="14.25" hidden="false" customHeight="true" outlineLevel="0" collapsed="false">
      <c r="B81" s="23"/>
      <c r="C81" s="25" t="s">
        <v>50</v>
      </c>
      <c r="D81" s="20"/>
      <c r="E81" s="10"/>
      <c r="F81" s="10"/>
      <c r="G81" s="10"/>
      <c r="H81" s="10"/>
      <c r="I81" s="10"/>
      <c r="J81" s="24" t="n">
        <f aca="false">SUM(E81:I81)</f>
        <v>0</v>
      </c>
    </row>
    <row r="82" customFormat="false" ht="14.25" hidden="false" customHeight="false" outlineLevel="0" collapsed="false">
      <c r="B82" s="23"/>
      <c r="C82" s="26"/>
      <c r="D82" s="20"/>
      <c r="E82" s="10"/>
      <c r="F82" s="10"/>
      <c r="G82" s="10"/>
      <c r="H82" s="10"/>
      <c r="I82" s="10"/>
      <c r="J82" s="24" t="n">
        <f aca="false">SUM(E82:I82)</f>
        <v>0</v>
      </c>
    </row>
    <row r="83" customFormat="false" ht="14.25" hidden="false" customHeight="false" outlineLevel="0" collapsed="false">
      <c r="B83" s="23"/>
      <c r="C83" s="27"/>
      <c r="D83" s="20"/>
      <c r="E83" s="10"/>
      <c r="F83" s="10"/>
      <c r="G83" s="10"/>
      <c r="H83" s="10"/>
      <c r="I83" s="10"/>
      <c r="J83" s="24" t="n">
        <f aca="false">SUM(E83:I83)</f>
        <v>0</v>
      </c>
    </row>
    <row r="84" customFormat="false" ht="16.4" hidden="false" customHeight="false" outlineLevel="0" collapsed="false">
      <c r="B84" s="23"/>
      <c r="C84" s="25" t="s">
        <v>50</v>
      </c>
      <c r="D84" s="20"/>
      <c r="E84" s="10"/>
      <c r="F84" s="10"/>
      <c r="G84" s="10"/>
      <c r="H84" s="10"/>
      <c r="I84" s="10"/>
      <c r="J84" s="24" t="n">
        <f aca="false">SUM(E84:I84)</f>
        <v>0</v>
      </c>
    </row>
    <row r="85" customFormat="false" ht="14.25" hidden="false" customHeight="false" outlineLevel="0" collapsed="false">
      <c r="B85" s="23"/>
      <c r="C85" s="26"/>
      <c r="D85" s="20"/>
      <c r="E85" s="10"/>
      <c r="F85" s="10"/>
      <c r="G85" s="10"/>
      <c r="H85" s="10"/>
      <c r="I85" s="10"/>
      <c r="J85" s="24" t="n">
        <f aca="false">SUM(E85:I85)</f>
        <v>0</v>
      </c>
    </row>
    <row r="86" customFormat="false" ht="14.25" hidden="false" customHeight="false" outlineLevel="0" collapsed="false">
      <c r="B86" s="23"/>
      <c r="C86" s="27"/>
      <c r="D86" s="20"/>
      <c r="E86" s="10"/>
      <c r="F86" s="10"/>
      <c r="G86" s="10"/>
      <c r="H86" s="10"/>
      <c r="I86" s="10"/>
      <c r="J86" s="24" t="n">
        <f aca="false">SUM(E86:I86)</f>
        <v>0</v>
      </c>
    </row>
    <row r="87" customFormat="false" ht="14.25" hidden="false" customHeight="false" outlineLevel="0" collapsed="false">
      <c r="B87" s="20" t="s">
        <v>60</v>
      </c>
      <c r="C87" s="20"/>
      <c r="D87" s="20"/>
      <c r="E87" s="28" t="n">
        <f aca="false">SUM(E66:E86)</f>
        <v>900</v>
      </c>
      <c r="F87" s="28" t="n">
        <f aca="false">SUM(F66:F86)</f>
        <v>1080</v>
      </c>
      <c r="G87" s="28" t="n">
        <f aca="false">SUM(G66:G86)</f>
        <v>900</v>
      </c>
      <c r="H87" s="28" t="n">
        <f aca="false">SUM(H66:H86)</f>
        <v>0</v>
      </c>
      <c r="I87" s="28" t="n">
        <f aca="false">SUM(I66:I86)</f>
        <v>0</v>
      </c>
      <c r="J87" s="29" t="n">
        <f aca="false">SUM(E87:I87)</f>
        <v>2880</v>
      </c>
    </row>
    <row r="88" customFormat="false" ht="14.25" hidden="false" customHeight="false" outlineLevel="0" collapsed="false">
      <c r="B88" s="20" t="s">
        <v>61</v>
      </c>
      <c r="C88" s="20"/>
      <c r="D88" s="20"/>
      <c r="E88" s="28" t="n">
        <f aca="false">SUM(E66:E86)*$C$14/2</f>
        <v>22500</v>
      </c>
      <c r="F88" s="28" t="n">
        <f aca="false">SUM(F66:F86)*$C$15</f>
        <v>108000</v>
      </c>
      <c r="G88" s="28" t="n">
        <f aca="false">SUM(G66:G86)*$C$16</f>
        <v>450000</v>
      </c>
      <c r="H88" s="28" t="n">
        <f aca="false">SUM(H66:H86)</f>
        <v>0</v>
      </c>
      <c r="I88" s="28" t="n">
        <f aca="false">SUM(I66:I86)</f>
        <v>0</v>
      </c>
      <c r="J88" s="29" t="n">
        <f aca="false">SUM(E88:I88)</f>
        <v>580500</v>
      </c>
    </row>
    <row r="89" customFormat="false" ht="14.25" hidden="false" customHeight="false" outlineLevel="0" collapsed="false">
      <c r="B89" s="22" t="s">
        <v>62</v>
      </c>
      <c r="C89" s="20"/>
      <c r="D89" s="20"/>
      <c r="E89" s="30" t="n">
        <f aca="false">E41+E64+E87</f>
        <v>2700</v>
      </c>
      <c r="F89" s="30" t="n">
        <f aca="false">F41+F64+F87</f>
        <v>3240</v>
      </c>
      <c r="G89" s="30" t="n">
        <f aca="false">G41+G64+G87</f>
        <v>2700</v>
      </c>
      <c r="H89" s="30" t="n">
        <f aca="false">H41+H64+H87</f>
        <v>0</v>
      </c>
      <c r="I89" s="30" t="n">
        <f aca="false">I41+I64+I87</f>
        <v>0</v>
      </c>
      <c r="J89" s="30" t="n">
        <f aca="false">J41+J64+J87</f>
        <v>8640</v>
      </c>
    </row>
    <row r="90" customFormat="false" ht="15.75" hidden="false" customHeight="false" outlineLevel="0" collapsed="false">
      <c r="B90" s="22" t="s">
        <v>63</v>
      </c>
      <c r="C90" s="22"/>
      <c r="D90" s="22"/>
      <c r="E90" s="30" t="n">
        <f aca="false">E42+E65+E88</f>
        <v>67500</v>
      </c>
      <c r="F90" s="30" t="n">
        <f aca="false">F42+F65+F88</f>
        <v>324000</v>
      </c>
      <c r="G90" s="30" t="n">
        <f aca="false">G42+G65+G88</f>
        <v>1350000</v>
      </c>
      <c r="H90" s="30" t="n">
        <f aca="false">H42+H65+H88</f>
        <v>0</v>
      </c>
      <c r="I90" s="30" t="n">
        <f aca="false">I42+I65+I88</f>
        <v>0</v>
      </c>
      <c r="J90" s="31" t="n">
        <f aca="false">J42+J65+J88</f>
        <v>1741500</v>
      </c>
    </row>
    <row r="91" customFormat="false" ht="14.25" hidden="false" customHeight="false" outlineLevel="0" collapsed="false">
      <c r="B91" s="32"/>
    </row>
    <row r="92" customFormat="false" ht="14.25" hidden="false" customHeight="false" outlineLevel="0" collapsed="false">
      <c r="B92" s="33"/>
      <c r="C92" s="34"/>
      <c r="D92" s="35"/>
      <c r="E92" s="35"/>
      <c r="F92" s="35"/>
      <c r="G92" s="35"/>
      <c r="H92" s="36"/>
    </row>
    <row r="93" customFormat="false" ht="15" hidden="false" customHeight="true" outlineLevel="0" collapsed="false">
      <c r="B93" s="37" t="s">
        <v>64</v>
      </c>
      <c r="C93" s="38" t="s">
        <v>65</v>
      </c>
      <c r="D93" s="38"/>
      <c r="E93" s="38"/>
      <c r="F93" s="38"/>
      <c r="G93" s="38"/>
      <c r="H93" s="38"/>
    </row>
    <row r="94" customFormat="false" ht="14.25" hidden="false" customHeight="true" outlineLevel="0" collapsed="false">
      <c r="B94" s="39" t="s">
        <v>66</v>
      </c>
      <c r="C94" s="7" t="s">
        <v>5</v>
      </c>
      <c r="D94" s="7" t="s">
        <v>6</v>
      </c>
      <c r="E94" s="7" t="s">
        <v>7</v>
      </c>
      <c r="F94" s="7" t="s">
        <v>8</v>
      </c>
      <c r="G94" s="7" t="s">
        <v>9</v>
      </c>
      <c r="H94" s="40" t="s">
        <v>11</v>
      </c>
    </row>
    <row r="95" customFormat="false" ht="14.25" hidden="false" customHeight="false" outlineLevel="0" collapsed="false">
      <c r="B95" s="41" t="s">
        <v>12</v>
      </c>
      <c r="C95" s="10" t="n">
        <f aca="false">D4*$I4</f>
        <v>5</v>
      </c>
      <c r="D95" s="10" t="n">
        <f aca="false">E4*$I4</f>
        <v>0</v>
      </c>
      <c r="E95" s="10" t="n">
        <f aca="false">F4*$I4</f>
        <v>0</v>
      </c>
      <c r="F95" s="10" t="n">
        <f aca="false">G4*$I4</f>
        <v>5</v>
      </c>
      <c r="G95" s="10" t="n">
        <f aca="false">H4*$I4</f>
        <v>0</v>
      </c>
      <c r="H95" s="42" t="n">
        <f aca="false">SUM(C95:G95)</f>
        <v>10</v>
      </c>
    </row>
    <row r="96" customFormat="false" ht="14.25" hidden="false" customHeight="false" outlineLevel="0" collapsed="false">
      <c r="B96" s="41" t="s">
        <v>14</v>
      </c>
      <c r="C96" s="10" t="n">
        <f aca="false">D5*$I5</f>
        <v>8</v>
      </c>
      <c r="D96" s="10" t="n">
        <f aca="false">E5*$I5</f>
        <v>0</v>
      </c>
      <c r="E96" s="10" t="n">
        <f aca="false">F5*$I5</f>
        <v>0</v>
      </c>
      <c r="F96" s="10" t="n">
        <f aca="false">G5*$I5</f>
        <v>8</v>
      </c>
      <c r="G96" s="10" t="n">
        <f aca="false">H5*$I5</f>
        <v>0</v>
      </c>
      <c r="H96" s="42" t="n">
        <f aca="false">SUM(C96:G96)</f>
        <v>16</v>
      </c>
    </row>
    <row r="97" customFormat="false" ht="14.25" hidden="false" customHeight="false" outlineLevel="0" collapsed="false">
      <c r="B97" s="41" t="s">
        <v>16</v>
      </c>
      <c r="C97" s="10" t="n">
        <f aca="false">D6*$I6</f>
        <v>9</v>
      </c>
      <c r="D97" s="10" t="n">
        <f aca="false">E6*$I6</f>
        <v>0</v>
      </c>
      <c r="E97" s="10" t="n">
        <f aca="false">F6*$I6</f>
        <v>0</v>
      </c>
      <c r="F97" s="10" t="n">
        <f aca="false">G6*$I6</f>
        <v>9</v>
      </c>
      <c r="G97" s="10" t="n">
        <f aca="false">H6*$I6</f>
        <v>0</v>
      </c>
      <c r="H97" s="42" t="n">
        <f aca="false">SUM(C97:G97)</f>
        <v>18</v>
      </c>
    </row>
    <row r="98" customFormat="false" ht="14.25" hidden="false" customHeight="false" outlineLevel="0" collapsed="false">
      <c r="B98" s="41" t="s">
        <v>18</v>
      </c>
      <c r="C98" s="10" t="n">
        <f aca="false">D7*$I7</f>
        <v>25</v>
      </c>
      <c r="D98" s="10" t="n">
        <f aca="false">E7*$I7</f>
        <v>0</v>
      </c>
      <c r="E98" s="10" t="n">
        <f aca="false">F7*$I7</f>
        <v>0</v>
      </c>
      <c r="F98" s="10" t="n">
        <f aca="false">G7*$I7</f>
        <v>25</v>
      </c>
      <c r="G98" s="10" t="n">
        <f aca="false">H7*$I7</f>
        <v>0</v>
      </c>
      <c r="H98" s="42" t="n">
        <f aca="false">SUM(C98:G98)</f>
        <v>50</v>
      </c>
    </row>
    <row r="99" customFormat="false" ht="14.25" hidden="false" customHeight="false" outlineLevel="0" collapsed="false">
      <c r="B99" s="41" t="s">
        <v>20</v>
      </c>
      <c r="C99" s="10" t="n">
        <f aca="false">D8*$I8</f>
        <v>10</v>
      </c>
      <c r="D99" s="10" t="n">
        <f aca="false">E8*$I8</f>
        <v>0</v>
      </c>
      <c r="E99" s="10" t="n">
        <f aca="false">F8*$I8</f>
        <v>0</v>
      </c>
      <c r="F99" s="10" t="n">
        <f aca="false">G8*$I8</f>
        <v>10</v>
      </c>
      <c r="G99" s="10" t="n">
        <f aca="false">H8*$I8</f>
        <v>0</v>
      </c>
      <c r="H99" s="42" t="n">
        <f aca="false">SUM(C99:G99)</f>
        <v>20</v>
      </c>
    </row>
    <row r="100" customFormat="false" ht="14.25" hidden="false" customHeight="false" outlineLevel="0" collapsed="false">
      <c r="B100" s="41" t="s">
        <v>21</v>
      </c>
      <c r="C100" s="10" t="n">
        <f aca="false">D9*$I9</f>
        <v>50</v>
      </c>
      <c r="D100" s="10" t="n">
        <f aca="false">E9*$I9</f>
        <v>0</v>
      </c>
      <c r="E100" s="10" t="n">
        <f aca="false">F9*$I9</f>
        <v>0</v>
      </c>
      <c r="F100" s="10" t="n">
        <f aca="false">G9*$I9</f>
        <v>50</v>
      </c>
      <c r="G100" s="10" t="n">
        <f aca="false">H9*$I9</f>
        <v>0</v>
      </c>
      <c r="H100" s="42" t="n">
        <f aca="false">SUM(C100:G100)</f>
        <v>100</v>
      </c>
    </row>
    <row r="101" customFormat="false" ht="16.4" hidden="false" customHeight="false" outlineLevel="0" collapsed="false">
      <c r="B101" s="41" t="s">
        <v>23</v>
      </c>
      <c r="C101" s="10" t="n">
        <f aca="false">D10*$I10</f>
        <v>0</v>
      </c>
      <c r="D101" s="10" t="n">
        <f aca="false">E10*$I10</f>
        <v>0</v>
      </c>
      <c r="E101" s="10" t="n">
        <f aca="false">F10*$I10</f>
        <v>0</v>
      </c>
      <c r="F101" s="10" t="n">
        <f aca="false">G10*$I10</f>
        <v>500</v>
      </c>
      <c r="G101" s="10" t="n">
        <f aca="false">H10*$I10</f>
        <v>0</v>
      </c>
      <c r="H101" s="42" t="n">
        <f aca="false">SUM(C101:G101)</f>
        <v>500</v>
      </c>
    </row>
    <row r="102" customFormat="false" ht="14.25" hidden="false" customHeight="false" outlineLevel="0" collapsed="false">
      <c r="B102" s="41" t="s">
        <v>25</v>
      </c>
      <c r="C102" s="12" t="n">
        <f aca="false">ROUNDDOWN(SUM(C95:C101),10)</f>
        <v>107</v>
      </c>
      <c r="D102" s="12" t="n">
        <f aca="false">SUM(D95:D101)</f>
        <v>0</v>
      </c>
      <c r="E102" s="12" t="n">
        <f aca="false">SUM(E95:E101)</f>
        <v>0</v>
      </c>
      <c r="F102" s="12" t="n">
        <f aca="false">SUM(F95:F101)</f>
        <v>607</v>
      </c>
      <c r="G102" s="12" t="n">
        <f aca="false">SUM(G95:G101)</f>
        <v>0</v>
      </c>
      <c r="H102" s="43" t="n">
        <f aca="false">SUM(H95:H101)</f>
        <v>714</v>
      </c>
    </row>
    <row r="103" customFormat="false" ht="14.25" hidden="false" customHeight="false" outlineLevel="0" collapsed="false">
      <c r="B103" s="41" t="s">
        <v>26</v>
      </c>
      <c r="C103" s="18" t="n">
        <f aca="false">C102</f>
        <v>107</v>
      </c>
      <c r="D103" s="18" t="n">
        <f aca="false">D102</f>
        <v>0</v>
      </c>
      <c r="E103" s="18" t="n">
        <f aca="false">E102</f>
        <v>0</v>
      </c>
      <c r="F103" s="18" t="n">
        <f aca="false">F102</f>
        <v>607</v>
      </c>
      <c r="G103" s="18" t="n">
        <f aca="false">G102</f>
        <v>0</v>
      </c>
      <c r="H103" s="44"/>
    </row>
    <row r="104" customFormat="false" ht="14.25" hidden="false" customHeight="false" outlineLevel="0" collapsed="false">
      <c r="B104" s="37"/>
      <c r="H104" s="45"/>
    </row>
    <row r="105" customFormat="false" ht="14.25" hidden="false" customHeight="false" outlineLevel="0" collapsed="false">
      <c r="B105" s="41" t="s">
        <v>27</v>
      </c>
      <c r="C105" s="8" t="s">
        <v>29</v>
      </c>
      <c r="D105" s="8" t="s">
        <v>30</v>
      </c>
      <c r="E105" s="8" t="s">
        <v>31</v>
      </c>
      <c r="H105" s="45"/>
    </row>
    <row r="106" customFormat="false" ht="14.25" hidden="false" customHeight="false" outlineLevel="0" collapsed="false">
      <c r="B106" s="46" t="s">
        <v>67</v>
      </c>
      <c r="C106" s="47" t="n">
        <f aca="false">_xlfn.FLOOR.MATH($C103/2,10)</f>
        <v>50</v>
      </c>
      <c r="D106" s="47" t="n">
        <f aca="false">_xlfn.FLOOR.MATH($C103,10)</f>
        <v>100</v>
      </c>
      <c r="E106" s="47" t="n">
        <f aca="false">_xlfn.FLOOR.MATH($C103,10)*5</f>
        <v>500</v>
      </c>
      <c r="F106" s="48"/>
      <c r="G106" s="48"/>
      <c r="H106" s="49"/>
    </row>
    <row r="107" customFormat="false" ht="14.25" hidden="false" customHeight="false" outlineLevel="0" collapsed="false">
      <c r="B107" s="37"/>
      <c r="H107" s="45"/>
    </row>
    <row r="108" customFormat="false" ht="14.25" hidden="false" customHeight="false" outlineLevel="0" collapsed="false">
      <c r="B108" s="50" t="s">
        <v>32</v>
      </c>
      <c r="C108" s="51" t="s">
        <v>33</v>
      </c>
      <c r="D108" s="51"/>
      <c r="E108" s="51"/>
      <c r="F108" s="51"/>
      <c r="G108" s="51"/>
      <c r="H108" s="51"/>
    </row>
    <row r="109" customFormat="false" ht="14.25" hidden="false" customHeight="false" outlineLevel="0" collapsed="false">
      <c r="B109" s="52" t="s">
        <v>34</v>
      </c>
      <c r="C109" s="20" t="s">
        <v>29</v>
      </c>
      <c r="D109" s="20" t="s">
        <v>30</v>
      </c>
      <c r="E109" s="20" t="s">
        <v>31</v>
      </c>
      <c r="F109" s="20" t="s">
        <v>9</v>
      </c>
      <c r="G109" s="20" t="s">
        <v>9</v>
      </c>
      <c r="H109" s="53" t="s">
        <v>11</v>
      </c>
    </row>
    <row r="110" customFormat="false" ht="14.25" hidden="false" customHeight="false" outlineLevel="0" collapsed="false">
      <c r="B110" s="52" t="s">
        <v>51</v>
      </c>
      <c r="C110" s="28" t="n">
        <f aca="false">E41</f>
        <v>900</v>
      </c>
      <c r="D110" s="28" t="n">
        <f aca="false">F41</f>
        <v>1080</v>
      </c>
      <c r="E110" s="28" t="n">
        <f aca="false">G41</f>
        <v>900</v>
      </c>
      <c r="F110" s="28" t="n">
        <f aca="false">H41</f>
        <v>0</v>
      </c>
      <c r="G110" s="28" t="n">
        <f aca="false">I41</f>
        <v>0</v>
      </c>
      <c r="H110" s="54" t="n">
        <f aca="false">SUM(C110:G110)</f>
        <v>2880</v>
      </c>
    </row>
    <row r="111" customFormat="false" ht="14.25" hidden="false" customHeight="false" outlineLevel="0" collapsed="false">
      <c r="B111" s="52" t="s">
        <v>52</v>
      </c>
      <c r="C111" s="28" t="n">
        <f aca="false">E42</f>
        <v>22500</v>
      </c>
      <c r="D111" s="28" t="n">
        <f aca="false">F42</f>
        <v>108000</v>
      </c>
      <c r="E111" s="28" t="n">
        <f aca="false">G42</f>
        <v>450000</v>
      </c>
      <c r="F111" s="28" t="n">
        <f aca="false">H42</f>
        <v>0</v>
      </c>
      <c r="G111" s="28" t="n">
        <f aca="false">I42</f>
        <v>0</v>
      </c>
      <c r="H111" s="54" t="n">
        <f aca="false">SUM(C111:G111)</f>
        <v>580500</v>
      </c>
    </row>
    <row r="112" customFormat="false" ht="14.25" hidden="false" customHeight="false" outlineLevel="0" collapsed="false">
      <c r="B112" s="52" t="s">
        <v>57</v>
      </c>
      <c r="C112" s="28" t="n">
        <f aca="false">E64</f>
        <v>900</v>
      </c>
      <c r="D112" s="28" t="n">
        <f aca="false">F64</f>
        <v>1080</v>
      </c>
      <c r="E112" s="28" t="n">
        <f aca="false">G64</f>
        <v>900</v>
      </c>
      <c r="F112" s="28" t="n">
        <f aca="false">H64</f>
        <v>0</v>
      </c>
      <c r="G112" s="28" t="n">
        <f aca="false">I64</f>
        <v>0</v>
      </c>
      <c r="H112" s="54" t="n">
        <f aca="false">SUM(C112:G112)</f>
        <v>2880</v>
      </c>
    </row>
    <row r="113" customFormat="false" ht="14.25" hidden="false" customHeight="false" outlineLevel="0" collapsed="false">
      <c r="B113" s="52" t="s">
        <v>58</v>
      </c>
      <c r="C113" s="28" t="n">
        <f aca="false">E65</f>
        <v>22500</v>
      </c>
      <c r="D113" s="28" t="n">
        <f aca="false">F65</f>
        <v>108000</v>
      </c>
      <c r="E113" s="28" t="n">
        <f aca="false">G65</f>
        <v>450000</v>
      </c>
      <c r="F113" s="28" t="n">
        <f aca="false">H65</f>
        <v>0</v>
      </c>
      <c r="G113" s="28" t="n">
        <f aca="false">I65</f>
        <v>0</v>
      </c>
      <c r="H113" s="54" t="n">
        <f aca="false">SUM(C113:G113)</f>
        <v>580500</v>
      </c>
    </row>
    <row r="114" customFormat="false" ht="14.25" hidden="false" customHeight="false" outlineLevel="0" collapsed="false">
      <c r="B114" s="52" t="s">
        <v>60</v>
      </c>
      <c r="C114" s="28" t="n">
        <f aca="false">E87</f>
        <v>900</v>
      </c>
      <c r="D114" s="28" t="n">
        <f aca="false">F87</f>
        <v>1080</v>
      </c>
      <c r="E114" s="28" t="n">
        <f aca="false">G87</f>
        <v>900</v>
      </c>
      <c r="F114" s="28" t="n">
        <f aca="false">H87</f>
        <v>0</v>
      </c>
      <c r="G114" s="28" t="n">
        <f aca="false">I87</f>
        <v>0</v>
      </c>
      <c r="H114" s="54" t="n">
        <f aca="false">SUM(C114:G114)</f>
        <v>2880</v>
      </c>
    </row>
    <row r="115" customFormat="false" ht="14.25" hidden="false" customHeight="false" outlineLevel="0" collapsed="false">
      <c r="B115" s="52" t="s">
        <v>61</v>
      </c>
      <c r="C115" s="28" t="n">
        <f aca="false">E88</f>
        <v>22500</v>
      </c>
      <c r="D115" s="28" t="n">
        <f aca="false">F88</f>
        <v>108000</v>
      </c>
      <c r="E115" s="28" t="n">
        <f aca="false">G88</f>
        <v>450000</v>
      </c>
      <c r="F115" s="28" t="n">
        <f aca="false">H88</f>
        <v>0</v>
      </c>
      <c r="G115" s="28" t="n">
        <f aca="false">I88</f>
        <v>0</v>
      </c>
      <c r="H115" s="54" t="n">
        <f aca="false">SUM(C115:G115)</f>
        <v>580500</v>
      </c>
    </row>
    <row r="116" customFormat="false" ht="16.4" hidden="false" customHeight="false" outlineLevel="0" collapsed="false">
      <c r="B116" s="55" t="s">
        <v>68</v>
      </c>
      <c r="C116" s="30" t="n">
        <f aca="false">C110+C112+C114</f>
        <v>2700</v>
      </c>
      <c r="D116" s="30" t="n">
        <f aca="false">D110+D112+D114</f>
        <v>3240</v>
      </c>
      <c r="E116" s="30" t="n">
        <f aca="false">E110+E112+E114</f>
        <v>2700</v>
      </c>
      <c r="F116" s="30" t="n">
        <f aca="false">F110+F112+F114</f>
        <v>0</v>
      </c>
      <c r="G116" s="30" t="n">
        <f aca="false">G110+G112+G114</f>
        <v>0</v>
      </c>
      <c r="H116" s="56" t="n">
        <f aca="false">H110+H112+H114</f>
        <v>8640</v>
      </c>
    </row>
    <row r="117" customFormat="false" ht="16.4" hidden="false" customHeight="false" outlineLevel="0" collapsed="false">
      <c r="B117" s="57" t="s">
        <v>63</v>
      </c>
      <c r="C117" s="58" t="n">
        <f aca="false">C111+C113+C115</f>
        <v>67500</v>
      </c>
      <c r="D117" s="58" t="n">
        <f aca="false">D111+D113+D115</f>
        <v>324000</v>
      </c>
      <c r="E117" s="58" t="n">
        <f aca="false">E111+E113+E115</f>
        <v>1350000</v>
      </c>
      <c r="F117" s="58" t="n">
        <f aca="false">F111+F113+F115</f>
        <v>0</v>
      </c>
      <c r="G117" s="58" t="n">
        <f aca="false">G111+G113+G115</f>
        <v>0</v>
      </c>
      <c r="H117" s="59" t="n">
        <f aca="false">H111+H113+H115</f>
        <v>1741500</v>
      </c>
    </row>
    <row r="118" customFormat="false" ht="14.25" hidden="false" customHeight="false" outlineLevel="0" collapsed="false">
      <c r="B118" s="33"/>
      <c r="C118" s="34"/>
      <c r="D118" s="35"/>
      <c r="E118" s="35"/>
      <c r="F118" s="35"/>
      <c r="G118" s="35"/>
      <c r="H118" s="36"/>
    </row>
    <row r="119" customFormat="false" ht="15" hidden="false" customHeight="true" outlineLevel="0" collapsed="false">
      <c r="B119" s="37" t="s">
        <v>64</v>
      </c>
      <c r="C119" s="38" t="s">
        <v>65</v>
      </c>
      <c r="D119" s="38"/>
      <c r="E119" s="38"/>
      <c r="F119" s="38"/>
      <c r="G119" s="38"/>
      <c r="H119" s="38"/>
    </row>
    <row r="120" customFormat="false" ht="14.25" hidden="false" customHeight="true" outlineLevel="0" collapsed="false"/>
    <row r="133" customFormat="false" ht="14.25" hidden="false" customHeight="false" outlineLevel="0" collapsed="false">
      <c r="B133" s="37"/>
      <c r="H133" s="45"/>
    </row>
    <row r="134" customFormat="false" ht="14.25" hidden="false" customHeight="false" outlineLevel="0" collapsed="false">
      <c r="B134" s="50" t="s">
        <v>32</v>
      </c>
      <c r="C134" s="51" t="s">
        <v>33</v>
      </c>
      <c r="D134" s="51"/>
      <c r="E134" s="51"/>
      <c r="F134" s="51"/>
      <c r="G134" s="51"/>
      <c r="H134" s="51"/>
    </row>
    <row r="135" customFormat="false" ht="14.25" hidden="false" customHeight="false" outlineLevel="0" collapsed="false">
      <c r="B135" s="52" t="s">
        <v>34</v>
      </c>
      <c r="C135" s="20" t="s">
        <v>29</v>
      </c>
      <c r="D135" s="20" t="s">
        <v>30</v>
      </c>
      <c r="E135" s="20" t="s">
        <v>31</v>
      </c>
      <c r="F135" s="20" t="s">
        <v>9</v>
      </c>
      <c r="G135" s="20" t="s">
        <v>9</v>
      </c>
      <c r="H135" s="53" t="s">
        <v>11</v>
      </c>
    </row>
    <row r="136" customFormat="false" ht="14.25" hidden="false" customHeight="false" outlineLevel="0" collapsed="false">
      <c r="B136" s="52" t="s">
        <v>51</v>
      </c>
    </row>
    <row r="137" customFormat="false" ht="14.25" hidden="false" customHeight="false" outlineLevel="0" collapsed="false">
      <c r="B137" s="52" t="s">
        <v>52</v>
      </c>
    </row>
    <row r="138" customFormat="false" ht="14.25" hidden="false" customHeight="false" outlineLevel="0" collapsed="false">
      <c r="B138" s="52" t="s">
        <v>57</v>
      </c>
    </row>
    <row r="139" customFormat="false" ht="14.25" hidden="false" customHeight="false" outlineLevel="0" collapsed="false">
      <c r="B139" s="52" t="s">
        <v>58</v>
      </c>
    </row>
    <row r="140" customFormat="false" ht="14.25" hidden="false" customHeight="false" outlineLevel="0" collapsed="false">
      <c r="B140" s="52" t="s">
        <v>60</v>
      </c>
    </row>
    <row r="141" customFormat="false" ht="14.25" hidden="false" customHeight="false" outlineLevel="0" collapsed="false">
      <c r="B141" s="52" t="s">
        <v>61</v>
      </c>
    </row>
    <row r="142" customFormat="false" ht="16.4" hidden="false" customHeight="false" outlineLevel="0" collapsed="false">
      <c r="B142" s="55" t="s">
        <v>68</v>
      </c>
    </row>
    <row r="143" customFormat="false" ht="16.4" hidden="false" customHeight="false" outlineLevel="0" collapsed="false">
      <c r="B143" s="57" t="s">
        <v>63</v>
      </c>
    </row>
  </sheetData>
  <mergeCells count="20">
    <mergeCell ref="B1:J1"/>
    <mergeCell ref="D2:H2"/>
    <mergeCell ref="J2:O2"/>
    <mergeCell ref="E18:J18"/>
    <mergeCell ref="B20:B40"/>
    <mergeCell ref="C20:C22"/>
    <mergeCell ref="C23:C25"/>
    <mergeCell ref="C26:C28"/>
    <mergeCell ref="B43:B63"/>
    <mergeCell ref="C43:C45"/>
    <mergeCell ref="C46:C48"/>
    <mergeCell ref="C49:C51"/>
    <mergeCell ref="B66:B86"/>
    <mergeCell ref="C66:C68"/>
    <mergeCell ref="C69:C71"/>
    <mergeCell ref="C72:C74"/>
    <mergeCell ref="C93:H93"/>
    <mergeCell ref="C108:H108"/>
    <mergeCell ref="C119:H119"/>
    <mergeCell ref="C134:H1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47.18"/>
    <col collapsed="false" customWidth="true" hidden="false" outlineLevel="0" max="2" min="2" style="1" width="15.32"/>
    <col collapsed="false" customWidth="true" hidden="false" outlineLevel="0" max="3" min="3" style="1" width="15.47"/>
    <col collapsed="false" customWidth="true" hidden="false" outlineLevel="0" max="4" min="4" style="1" width="15.93"/>
    <col collapsed="false" customWidth="true" hidden="false" outlineLevel="0" max="5" min="5" style="1" width="20.83"/>
    <col collapsed="false" customWidth="true" hidden="false" outlineLevel="0" max="6" min="6" style="1" width="16.7"/>
    <col collapsed="false" customWidth="true" hidden="false" outlineLevel="0" max="7" min="7" style="1" width="21.12"/>
  </cols>
  <sheetData>
    <row r="1" customFormat="false" ht="14.25" hidden="false" customHeight="false" outlineLevel="0" collapsed="false">
      <c r="A1" s="60" t="s">
        <v>69</v>
      </c>
      <c r="B1" s="61" t="s">
        <v>70</v>
      </c>
      <c r="C1" s="61" t="s">
        <v>71</v>
      </c>
      <c r="D1" s="61" t="s">
        <v>72</v>
      </c>
      <c r="E1" s="61" t="s">
        <v>73</v>
      </c>
      <c r="F1" s="61" t="s">
        <v>74</v>
      </c>
      <c r="G1" s="62" t="s">
        <v>75</v>
      </c>
    </row>
    <row r="2" customFormat="false" ht="14.25" hidden="false" customHeight="false" outlineLevel="0" collapsed="false">
      <c r="A2" s="63" t="s">
        <v>12</v>
      </c>
      <c r="B2" s="10" t="n">
        <f aca="false">'Commercialisation Model'!D4*'Commercialisation Model'!$I4</f>
        <v>5</v>
      </c>
      <c r="C2" s="10" t="n">
        <f aca="false">'Commercialisation Model'!E4*'Commercialisation Model'!$I4</f>
        <v>0</v>
      </c>
      <c r="D2" s="10" t="n">
        <f aca="false">'Commercialisation Model'!F4*'Commercialisation Model'!$I4</f>
        <v>0</v>
      </c>
      <c r="E2" s="10" t="n">
        <f aca="false">'Commercialisation Model'!G4*'Commercialisation Model'!$I4</f>
        <v>5</v>
      </c>
      <c r="F2" s="10" t="n">
        <f aca="false">'Commercialisation Model'!H4*'Commercialisation Model'!$I4</f>
        <v>0</v>
      </c>
      <c r="G2" s="64" t="n">
        <f aca="false">SUM(B2:F2)</f>
        <v>10</v>
      </c>
    </row>
    <row r="3" customFormat="false" ht="14.25" hidden="false" customHeight="false" outlineLevel="0" collapsed="false">
      <c r="A3" s="63" t="s">
        <v>14</v>
      </c>
      <c r="B3" s="10" t="n">
        <f aca="false">'Commercialisation Model'!D5*'Commercialisation Model'!$I5</f>
        <v>8</v>
      </c>
      <c r="C3" s="10" t="n">
        <f aca="false">'Commercialisation Model'!E5*'Commercialisation Model'!$I5</f>
        <v>0</v>
      </c>
      <c r="D3" s="10" t="n">
        <f aca="false">'Commercialisation Model'!F5*'Commercialisation Model'!$I5</f>
        <v>0</v>
      </c>
      <c r="E3" s="10" t="n">
        <f aca="false">'Commercialisation Model'!G5*'Commercialisation Model'!$I5</f>
        <v>8</v>
      </c>
      <c r="F3" s="10" t="n">
        <f aca="false">'Commercialisation Model'!H5*'Commercialisation Model'!$I5</f>
        <v>0</v>
      </c>
      <c r="G3" s="64" t="n">
        <f aca="false">SUM(B3:F3)</f>
        <v>16</v>
      </c>
    </row>
    <row r="4" customFormat="false" ht="14.25" hidden="false" customHeight="false" outlineLevel="0" collapsed="false">
      <c r="A4" s="63" t="s">
        <v>16</v>
      </c>
      <c r="B4" s="10" t="n">
        <f aca="false">'Commercialisation Model'!D6*'Commercialisation Model'!$I6</f>
        <v>9</v>
      </c>
      <c r="C4" s="10" t="n">
        <f aca="false">'Commercialisation Model'!E6*'Commercialisation Model'!$I6</f>
        <v>0</v>
      </c>
      <c r="D4" s="10" t="n">
        <f aca="false">'Commercialisation Model'!F6*'Commercialisation Model'!$I6</f>
        <v>0</v>
      </c>
      <c r="E4" s="10" t="n">
        <f aca="false">'Commercialisation Model'!G6*'Commercialisation Model'!$I6</f>
        <v>9</v>
      </c>
      <c r="F4" s="10" t="n">
        <f aca="false">'Commercialisation Model'!H6*'Commercialisation Model'!$I6</f>
        <v>0</v>
      </c>
      <c r="G4" s="64" t="n">
        <f aca="false">SUM(B4:F4)</f>
        <v>18</v>
      </c>
    </row>
    <row r="5" customFormat="false" ht="14.25" hidden="false" customHeight="false" outlineLevel="0" collapsed="false">
      <c r="A5" s="63" t="s">
        <v>18</v>
      </c>
      <c r="B5" s="10" t="n">
        <f aca="false">'Commercialisation Model'!D7*'Commercialisation Model'!$I7</f>
        <v>25</v>
      </c>
      <c r="C5" s="10" t="n">
        <f aca="false">'Commercialisation Model'!E7*'Commercialisation Model'!$I7</f>
        <v>0</v>
      </c>
      <c r="D5" s="10" t="n">
        <f aca="false">'Commercialisation Model'!F7*'Commercialisation Model'!$I7</f>
        <v>0</v>
      </c>
      <c r="E5" s="10" t="n">
        <f aca="false">'Commercialisation Model'!G7*'Commercialisation Model'!$I7</f>
        <v>25</v>
      </c>
      <c r="F5" s="10" t="n">
        <f aca="false">'Commercialisation Model'!H7*'Commercialisation Model'!$I7</f>
        <v>0</v>
      </c>
      <c r="G5" s="64" t="n">
        <f aca="false">SUM(B5:F5)</f>
        <v>50</v>
      </c>
    </row>
    <row r="6" customFormat="false" ht="14.25" hidden="false" customHeight="false" outlineLevel="0" collapsed="false">
      <c r="A6" s="63" t="s">
        <v>20</v>
      </c>
      <c r="B6" s="10" t="n">
        <f aca="false">'Commercialisation Model'!D8*'Commercialisation Model'!$I8</f>
        <v>10</v>
      </c>
      <c r="C6" s="10" t="n">
        <f aca="false">'Commercialisation Model'!E8*'Commercialisation Model'!$I8</f>
        <v>0</v>
      </c>
      <c r="D6" s="10" t="n">
        <f aca="false">'Commercialisation Model'!F8*'Commercialisation Model'!$I8</f>
        <v>0</v>
      </c>
      <c r="E6" s="10" t="n">
        <f aca="false">'Commercialisation Model'!G8*'Commercialisation Model'!$I8</f>
        <v>10</v>
      </c>
      <c r="F6" s="10" t="n">
        <f aca="false">'Commercialisation Model'!H8*'Commercialisation Model'!$I8</f>
        <v>0</v>
      </c>
      <c r="G6" s="64" t="n">
        <f aca="false">SUM(B6:F6)</f>
        <v>20</v>
      </c>
    </row>
    <row r="7" customFormat="false" ht="14.25" hidden="false" customHeight="false" outlineLevel="0" collapsed="false">
      <c r="A7" s="63" t="s">
        <v>21</v>
      </c>
      <c r="B7" s="10" t="n">
        <f aca="false">'Commercialisation Model'!D9*'Commercialisation Model'!$I9</f>
        <v>50</v>
      </c>
      <c r="C7" s="10" t="n">
        <f aca="false">'Commercialisation Model'!E9*'Commercialisation Model'!$I9</f>
        <v>0</v>
      </c>
      <c r="D7" s="10" t="n">
        <f aca="false">'Commercialisation Model'!F9*'Commercialisation Model'!$I9</f>
        <v>0</v>
      </c>
      <c r="E7" s="10" t="n">
        <f aca="false">'Commercialisation Model'!G9*'Commercialisation Model'!$I9</f>
        <v>50</v>
      </c>
      <c r="F7" s="10" t="n">
        <f aca="false">'Commercialisation Model'!H9*'Commercialisation Model'!$I9</f>
        <v>0</v>
      </c>
      <c r="G7" s="64" t="n">
        <f aca="false">SUM(B7:F7)</f>
        <v>100</v>
      </c>
    </row>
    <row r="8" customFormat="false" ht="16.4" hidden="false" customHeight="false" outlineLevel="0" collapsed="false">
      <c r="A8" s="63" t="s">
        <v>23</v>
      </c>
      <c r="B8" s="10" t="n">
        <f aca="false">'Commercialisation Model'!D10*'Commercialisation Model'!$I10</f>
        <v>0</v>
      </c>
      <c r="C8" s="10" t="n">
        <f aca="false">'Commercialisation Model'!E10*'Commercialisation Model'!$I10</f>
        <v>0</v>
      </c>
      <c r="D8" s="10" t="n">
        <f aca="false">'Commercialisation Model'!F10*'Commercialisation Model'!$I10</f>
        <v>0</v>
      </c>
      <c r="E8" s="10" t="n">
        <f aca="false">'Commercialisation Model'!G10*'Commercialisation Model'!$I10</f>
        <v>500</v>
      </c>
      <c r="F8" s="10" t="n">
        <f aca="false">'Commercialisation Model'!H10*'Commercialisation Model'!$I10</f>
        <v>0</v>
      </c>
      <c r="G8" s="64" t="n">
        <f aca="false">SUM(B8:F8)</f>
        <v>500</v>
      </c>
    </row>
    <row r="9" customFormat="false" ht="14.25" hidden="false" customHeight="false" outlineLevel="0" collapsed="false">
      <c r="A9" s="63" t="s">
        <v>25</v>
      </c>
      <c r="B9" s="12" t="n">
        <f aca="false">ROUNDDOWN(SUM(B2:B8),10)</f>
        <v>107</v>
      </c>
      <c r="C9" s="12" t="n">
        <f aca="false">SUM(C2:C8)</f>
        <v>0</v>
      </c>
      <c r="D9" s="12" t="n">
        <f aca="false">SUM(D2:D8)</f>
        <v>0</v>
      </c>
      <c r="E9" s="12" t="n">
        <f aca="false">SUM(E2:E8)</f>
        <v>607</v>
      </c>
      <c r="F9" s="12" t="n">
        <f aca="false">SUM(F2:F8)</f>
        <v>0</v>
      </c>
      <c r="G9" s="65" t="n">
        <f aca="false">SUM(G2:G8)</f>
        <v>714</v>
      </c>
    </row>
    <row r="10" customFormat="false" ht="14.25" hidden="false" customHeight="false" outlineLevel="0" collapsed="false">
      <c r="A10" s="66" t="s">
        <v>26</v>
      </c>
      <c r="B10" s="67" t="n">
        <f aca="false">B9</f>
        <v>107</v>
      </c>
      <c r="C10" s="67" t="n">
        <f aca="false">C9</f>
        <v>0</v>
      </c>
      <c r="D10" s="67" t="n">
        <f aca="false">D9</f>
        <v>0</v>
      </c>
      <c r="E10" s="67" t="n">
        <f aca="false">E9</f>
        <v>607</v>
      </c>
      <c r="F10" s="67" t="n">
        <f aca="false">F9</f>
        <v>0</v>
      </c>
      <c r="G10" s="68"/>
    </row>
    <row r="11" customFormat="false" ht="8.25" hidden="false" customHeight="true" outlineLevel="0" collapsed="false">
      <c r="A11" s="37"/>
      <c r="G11" s="45"/>
    </row>
    <row r="12" customFormat="false" ht="14.25" hidden="false" customHeight="false" outlineLevel="0" collapsed="false">
      <c r="A12" s="37"/>
      <c r="G12" s="4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11" activeCellId="0" sqref="D1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5"/>
  </cols>
  <sheetData>
    <row r="1" customFormat="false" ht="14.25" hidden="false" customHeight="false" outlineLevel="0" collapsed="false">
      <c r="A1" s="69" t="s">
        <v>69</v>
      </c>
      <c r="B1" s="70" t="s">
        <v>76</v>
      </c>
      <c r="C1" s="70" t="s">
        <v>77</v>
      </c>
      <c r="D1" s="71" t="s">
        <v>78</v>
      </c>
    </row>
    <row r="2" customFormat="false" ht="14.25" hidden="false" customHeight="false" outlineLevel="0" collapsed="false">
      <c r="A2" s="66" t="s">
        <v>67</v>
      </c>
      <c r="B2" s="47" t="n">
        <f aca="false">_xlfn.FLOOR.MATH(investment_strength_matrix!$B10/2,10)</f>
        <v>50</v>
      </c>
      <c r="C2" s="47" t="n">
        <f aca="false">_xlfn.FLOOR.MATH(investment_strength_matrix!$B10,10)</f>
        <v>100</v>
      </c>
      <c r="D2" s="72" t="n">
        <f aca="false">_xlfn.FLOOR.MATH(investment_strength_matrix!$B10,10)*5</f>
        <v>500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6" activeCellId="0" sqref="B1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48.36"/>
    <col collapsed="false" customWidth="true" hidden="false" outlineLevel="0" max="2" min="2" style="1" width="8.09"/>
    <col collapsed="false" customWidth="true" hidden="false" outlineLevel="0" max="3" min="3" style="1" width="9.09"/>
    <col collapsed="false" customWidth="true" hidden="false" outlineLevel="0" max="4" min="4" style="1" width="10.64"/>
    <col collapsed="false" customWidth="true" hidden="false" outlineLevel="0" max="7" min="7" style="1" width="11.45"/>
  </cols>
  <sheetData>
    <row r="1" customFormat="false" ht="14.25" hidden="false" customHeight="false" outlineLevel="0" collapsed="false">
      <c r="A1" s="73" t="s">
        <v>69</v>
      </c>
      <c r="B1" s="74" t="s">
        <v>76</v>
      </c>
      <c r="C1" s="74" t="s">
        <v>77</v>
      </c>
      <c r="D1" s="74" t="s">
        <v>78</v>
      </c>
      <c r="E1" s="74" t="s">
        <v>79</v>
      </c>
      <c r="F1" s="74" t="s">
        <v>80</v>
      </c>
      <c r="G1" s="75" t="s">
        <v>81</v>
      </c>
    </row>
    <row r="2" customFormat="false" ht="14.25" hidden="false" customHeight="false" outlineLevel="0" collapsed="false">
      <c r="A2" s="76" t="s">
        <v>51</v>
      </c>
      <c r="B2" s="28" t="n">
        <f aca="false">'Commercialisation Model'!E41</f>
        <v>900</v>
      </c>
      <c r="C2" s="28" t="n">
        <f aca="false">'Commercialisation Model'!F41</f>
        <v>1080</v>
      </c>
      <c r="D2" s="28" t="n">
        <f aca="false">'Commercialisation Model'!G41</f>
        <v>900</v>
      </c>
      <c r="E2" s="28" t="n">
        <f aca="false">'Commercialisation Model'!H41</f>
        <v>0</v>
      </c>
      <c r="F2" s="28" t="n">
        <f aca="false">'Commercialisation Model'!I41</f>
        <v>0</v>
      </c>
      <c r="G2" s="77" t="n">
        <f aca="false">'Commercialisation Model'!J41</f>
        <v>2880</v>
      </c>
    </row>
    <row r="3" customFormat="false" ht="14.25" hidden="false" customHeight="false" outlineLevel="0" collapsed="false">
      <c r="A3" s="76" t="s">
        <v>52</v>
      </c>
      <c r="B3" s="28" t="n">
        <f aca="false">'Commercialisation Model'!E42</f>
        <v>22500</v>
      </c>
      <c r="C3" s="28" t="n">
        <f aca="false">'Commercialisation Model'!F42</f>
        <v>108000</v>
      </c>
      <c r="D3" s="28" t="n">
        <f aca="false">'Commercialisation Model'!G42</f>
        <v>450000</v>
      </c>
      <c r="E3" s="28" t="n">
        <f aca="false">'Commercialisation Model'!H42</f>
        <v>0</v>
      </c>
      <c r="F3" s="28" t="n">
        <f aca="false">'Commercialisation Model'!I42</f>
        <v>0</v>
      </c>
      <c r="G3" s="77" t="n">
        <f aca="false">'Commercialisation Model'!J42</f>
        <v>580500</v>
      </c>
    </row>
    <row r="4" customFormat="false" ht="14.25" hidden="false" customHeight="false" outlineLevel="0" collapsed="false">
      <c r="A4" s="76" t="s">
        <v>57</v>
      </c>
      <c r="B4" s="28" t="n">
        <f aca="false">'Commercialisation Model'!E64</f>
        <v>900</v>
      </c>
      <c r="C4" s="28" t="n">
        <f aca="false">'Commercialisation Model'!F64</f>
        <v>1080</v>
      </c>
      <c r="D4" s="28" t="n">
        <f aca="false">'Commercialisation Model'!G64</f>
        <v>900</v>
      </c>
      <c r="E4" s="28" t="n">
        <f aca="false">'Commercialisation Model'!H64</f>
        <v>0</v>
      </c>
      <c r="F4" s="28" t="n">
        <f aca="false">'Commercialisation Model'!I64</f>
        <v>0</v>
      </c>
      <c r="G4" s="77" t="n">
        <f aca="false">SUM(B4:F4)</f>
        <v>2880</v>
      </c>
    </row>
    <row r="5" customFormat="false" ht="14.25" hidden="false" customHeight="false" outlineLevel="0" collapsed="false">
      <c r="A5" s="76" t="s">
        <v>58</v>
      </c>
      <c r="B5" s="28" t="n">
        <f aca="false">'Commercialisation Model'!E65</f>
        <v>22500</v>
      </c>
      <c r="C5" s="28" t="n">
        <f aca="false">'Commercialisation Model'!F65</f>
        <v>108000</v>
      </c>
      <c r="D5" s="28" t="n">
        <f aca="false">'Commercialisation Model'!G65</f>
        <v>450000</v>
      </c>
      <c r="E5" s="28" t="n">
        <f aca="false">'Commercialisation Model'!H65</f>
        <v>0</v>
      </c>
      <c r="F5" s="28" t="n">
        <f aca="false">'Commercialisation Model'!I65</f>
        <v>0</v>
      </c>
      <c r="G5" s="77" t="n">
        <f aca="false">SUM(B5:F5)</f>
        <v>580500</v>
      </c>
    </row>
    <row r="6" customFormat="false" ht="14.25" hidden="false" customHeight="false" outlineLevel="0" collapsed="false">
      <c r="A6" s="76" t="s">
        <v>60</v>
      </c>
      <c r="B6" s="28" t="n">
        <f aca="false">'Commercialisation Model'!E87</f>
        <v>900</v>
      </c>
      <c r="C6" s="28" t="n">
        <f aca="false">'Commercialisation Model'!F87</f>
        <v>1080</v>
      </c>
      <c r="D6" s="28" t="n">
        <f aca="false">'Commercialisation Model'!G87</f>
        <v>900</v>
      </c>
      <c r="E6" s="28" t="n">
        <f aca="false">'Commercialisation Model'!H87</f>
        <v>0</v>
      </c>
      <c r="F6" s="28" t="n">
        <f aca="false">'Commercialisation Model'!I87</f>
        <v>0</v>
      </c>
      <c r="G6" s="77" t="n">
        <f aca="false">SUM(B6:F6)</f>
        <v>2880</v>
      </c>
    </row>
    <row r="7" customFormat="false" ht="14.25" hidden="false" customHeight="false" outlineLevel="0" collapsed="false">
      <c r="A7" s="76" t="s">
        <v>61</v>
      </c>
      <c r="B7" s="28" t="n">
        <f aca="false">'Commercialisation Model'!E88</f>
        <v>22500</v>
      </c>
      <c r="C7" s="28" t="n">
        <f aca="false">'Commercialisation Model'!F88</f>
        <v>108000</v>
      </c>
      <c r="D7" s="28" t="n">
        <f aca="false">'Commercialisation Model'!G88</f>
        <v>450000</v>
      </c>
      <c r="E7" s="28" t="n">
        <f aca="false">'Commercialisation Model'!H88</f>
        <v>0</v>
      </c>
      <c r="F7" s="28" t="n">
        <f aca="false">'Commercialisation Model'!I88</f>
        <v>0</v>
      </c>
      <c r="G7" s="77" t="n">
        <f aca="false">SUM(B7:F7)</f>
        <v>580500</v>
      </c>
    </row>
    <row r="8" customFormat="false" ht="16.4" hidden="false" customHeight="false" outlineLevel="0" collapsed="false">
      <c r="A8" s="78" t="s">
        <v>68</v>
      </c>
      <c r="B8" s="30" t="n">
        <f aca="false">B2+B4+B6</f>
        <v>2700</v>
      </c>
      <c r="C8" s="30" t="n">
        <f aca="false">C2+C4+C6</f>
        <v>3240</v>
      </c>
      <c r="D8" s="30" t="n">
        <f aca="false">D2+D4+D6</f>
        <v>2700</v>
      </c>
      <c r="E8" s="30" t="n">
        <f aca="false">E2+E4+E6</f>
        <v>0</v>
      </c>
      <c r="F8" s="30" t="n">
        <f aca="false">F2+F4+F6</f>
        <v>0</v>
      </c>
      <c r="G8" s="79" t="n">
        <f aca="false">G2+G4+G6</f>
        <v>8640</v>
      </c>
    </row>
    <row r="9" customFormat="false" ht="16.4" hidden="false" customHeight="false" outlineLevel="0" collapsed="false">
      <c r="A9" s="80" t="s">
        <v>63</v>
      </c>
      <c r="B9" s="81" t="n">
        <f aca="false">B3+B5+B7</f>
        <v>67500</v>
      </c>
      <c r="C9" s="81" t="n">
        <f aca="false">C3+C5+C7</f>
        <v>324000</v>
      </c>
      <c r="D9" s="81" t="n">
        <f aca="false">D3+D5+D7</f>
        <v>1350000</v>
      </c>
      <c r="E9" s="81" t="n">
        <f aca="false">E3+E5+E7</f>
        <v>0</v>
      </c>
      <c r="F9" s="81" t="n">
        <f aca="false">F3+F5+F7</f>
        <v>0</v>
      </c>
      <c r="G9" s="82" t="n">
        <f aca="false">G3+G5+G7</f>
        <v>1741500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2025-02-09T15:19:09Z</dcterms:created>
  <dc:creator>Firdaus Ali</dc:creator>
  <dc:description/>
  <dc:language>en-US</dc:language>
  <cp:lastModifiedBy/>
  <dcterms:modified xsi:type="dcterms:W3CDTF">2025-02-12T21:14:31Z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
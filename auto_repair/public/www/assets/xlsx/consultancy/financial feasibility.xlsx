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firda\Desktop\"/>
    </mc:Choice>
  </mc:AlternateContent>
  <xr:revisionPtr revIDLastSave="0" documentId="13_ncr:1_{A137BE7D-1E53-49D5-BEF2-B5BCAFBBBB30}" xr6:coauthVersionLast="47" xr6:coauthVersionMax="47" xr10:uidLastSave="{00000000-0000-0000-0000-000000000000}"/>
  <bookViews>
    <workbookView xWindow="-110" yWindow="-110" windowWidth="19420" windowHeight="10300" firstSheet="3" activeTab="5" xr2:uid="{609C820D-4FFA-4C5F-814C-BB3BE68BE8C7}"/>
  </bookViews>
  <sheets>
    <sheet name="Income Statement exp Summary" sheetId="12" r:id="rId1"/>
    <sheet name="Sheet2" sheetId="15" state="hidden" r:id="rId2"/>
    <sheet name="Income Statement HSE VR" sheetId="13" r:id="rId3"/>
    <sheet name="Income Statement Education VR" sheetId="14" r:id="rId4"/>
    <sheet name="Income Statement UAV" sheetId="7" r:id="rId5"/>
    <sheet name="Cashflow"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9" l="1"/>
  <c r="D75" i="14"/>
  <c r="D80" i="14"/>
  <c r="G14" i="9"/>
  <c r="G13" i="9" s="1"/>
  <c r="F14" i="9"/>
  <c r="H74" i="12"/>
  <c r="G74" i="12"/>
  <c r="F74" i="12"/>
  <c r="E14" i="9" s="1"/>
  <c r="E13" i="9" s="1"/>
  <c r="E74" i="12"/>
  <c r="D74" i="12"/>
  <c r="D61" i="12"/>
  <c r="H19" i="12"/>
  <c r="G19" i="12"/>
  <c r="F19" i="12"/>
  <c r="E19" i="12"/>
  <c r="D19" i="12"/>
  <c r="E9" i="12"/>
  <c r="E83" i="12" s="1"/>
  <c r="H9" i="7"/>
  <c r="G9" i="7"/>
  <c r="F9" i="7"/>
  <c r="E9" i="7"/>
  <c r="D9" i="7"/>
  <c r="H9" i="14"/>
  <c r="H21" i="14" s="1"/>
  <c r="H21" i="12" s="1"/>
  <c r="G9" i="14"/>
  <c r="G9" i="12" s="1"/>
  <c r="G83" i="12" s="1"/>
  <c r="F9" i="14"/>
  <c r="F21" i="14" s="1"/>
  <c r="F58" i="14" s="1"/>
  <c r="E9" i="14"/>
  <c r="D9" i="14"/>
  <c r="D9" i="12" s="1"/>
  <c r="Q9" i="13"/>
  <c r="Q21" i="13" s="1"/>
  <c r="Q58" i="13" s="1"/>
  <c r="P9" i="13"/>
  <c r="P21" i="13" s="1"/>
  <c r="O9" i="13"/>
  <c r="N9" i="13"/>
  <c r="M9" i="13"/>
  <c r="L9" i="13"/>
  <c r="K9" i="13"/>
  <c r="J9" i="13"/>
  <c r="J21" i="13" s="1"/>
  <c r="J58" i="13" s="1"/>
  <c r="I9" i="13"/>
  <c r="H9" i="13"/>
  <c r="G9" i="13"/>
  <c r="F9" i="13"/>
  <c r="F21" i="13" s="1"/>
  <c r="E9" i="13"/>
  <c r="D9" i="13"/>
  <c r="H80" i="14"/>
  <c r="G80" i="14"/>
  <c r="F80" i="14"/>
  <c r="E80" i="14"/>
  <c r="Q61" i="14"/>
  <c r="K75" i="14"/>
  <c r="J75" i="14"/>
  <c r="I75" i="14"/>
  <c r="H75" i="14"/>
  <c r="G75" i="14"/>
  <c r="F75" i="14"/>
  <c r="E75" i="14"/>
  <c r="P61" i="14"/>
  <c r="N61" i="14"/>
  <c r="L61" i="14"/>
  <c r="J61" i="14"/>
  <c r="H61" i="14"/>
  <c r="G61" i="14"/>
  <c r="F61" i="14"/>
  <c r="E61" i="14"/>
  <c r="D61" i="14"/>
  <c r="O56" i="14"/>
  <c r="M56" i="14"/>
  <c r="Q55" i="14"/>
  <c r="Q56" i="14" s="1"/>
  <c r="P55" i="14"/>
  <c r="P56" i="14" s="1"/>
  <c r="O55" i="14"/>
  <c r="N55" i="14"/>
  <c r="N56" i="14" s="1"/>
  <c r="M55" i="14"/>
  <c r="L55" i="14"/>
  <c r="L56" i="14" s="1"/>
  <c r="K55" i="14"/>
  <c r="K56" i="14" s="1"/>
  <c r="J55" i="14"/>
  <c r="J56" i="14" s="1"/>
  <c r="I55" i="14"/>
  <c r="I56" i="14" s="1"/>
  <c r="H55" i="14"/>
  <c r="H56" i="14" s="1"/>
  <c r="G55" i="14"/>
  <c r="G56" i="14" s="1"/>
  <c r="F55" i="14"/>
  <c r="F56" i="14" s="1"/>
  <c r="E55" i="14"/>
  <c r="E56" i="14" s="1"/>
  <c r="D55" i="14"/>
  <c r="D56" i="14" s="1"/>
  <c r="Q30" i="14"/>
  <c r="P30" i="14"/>
  <c r="O30" i="14"/>
  <c r="N30" i="14"/>
  <c r="M30" i="14"/>
  <c r="L30" i="14"/>
  <c r="K30" i="14"/>
  <c r="J30" i="14"/>
  <c r="I30" i="14"/>
  <c r="H30" i="14"/>
  <c r="G30" i="14"/>
  <c r="F30" i="14"/>
  <c r="E30" i="14"/>
  <c r="D30" i="14"/>
  <c r="O21" i="14"/>
  <c r="O58" i="14" s="1"/>
  <c r="O19" i="14"/>
  <c r="M19" i="14"/>
  <c r="H19" i="14"/>
  <c r="G19" i="14"/>
  <c r="F19" i="14"/>
  <c r="E19" i="14"/>
  <c r="D19" i="14"/>
  <c r="Q17" i="14"/>
  <c r="Q19" i="14" s="1"/>
  <c r="Q21" i="14" s="1"/>
  <c r="P17" i="14"/>
  <c r="P19" i="14" s="1"/>
  <c r="O17" i="14"/>
  <c r="N17" i="14"/>
  <c r="N19" i="14" s="1"/>
  <c r="M17" i="14"/>
  <c r="L17" i="14"/>
  <c r="L19" i="14" s="1"/>
  <c r="K17" i="14"/>
  <c r="K19" i="14" s="1"/>
  <c r="J17" i="14"/>
  <c r="J19" i="14" s="1"/>
  <c r="I17" i="14"/>
  <c r="I19" i="14" s="1"/>
  <c r="I21" i="14" s="1"/>
  <c r="Q9" i="14"/>
  <c r="P9" i="14"/>
  <c r="O9" i="14"/>
  <c r="N9" i="14"/>
  <c r="M9" i="14"/>
  <c r="M21" i="14" s="1"/>
  <c r="M58" i="14" s="1"/>
  <c r="L9" i="14"/>
  <c r="K9" i="14"/>
  <c r="K21" i="14" s="1"/>
  <c r="J9" i="14"/>
  <c r="J21" i="14" s="1"/>
  <c r="I9" i="14"/>
  <c r="G21" i="14"/>
  <c r="G21" i="12" s="1"/>
  <c r="E21" i="14"/>
  <c r="E21" i="12" s="1"/>
  <c r="H80" i="13"/>
  <c r="H61" i="13" s="1"/>
  <c r="G80" i="13"/>
  <c r="G61" i="13" s="1"/>
  <c r="F80" i="13"/>
  <c r="E80" i="13"/>
  <c r="D80" i="13"/>
  <c r="P61" i="13" s="1"/>
  <c r="K75" i="13"/>
  <c r="J75" i="13"/>
  <c r="I75" i="13"/>
  <c r="H75" i="13"/>
  <c r="G75" i="13"/>
  <c r="F75" i="13"/>
  <c r="E75" i="13"/>
  <c r="D75" i="13"/>
  <c r="J61" i="13"/>
  <c r="F61" i="13"/>
  <c r="E61" i="13"/>
  <c r="D61" i="13"/>
  <c r="Q55" i="13"/>
  <c r="P55" i="13"/>
  <c r="O55" i="13"/>
  <c r="O56" i="13" s="1"/>
  <c r="N55" i="13"/>
  <c r="N56" i="13" s="1"/>
  <c r="M55" i="13"/>
  <c r="L55" i="13"/>
  <c r="L56" i="13" s="1"/>
  <c r="K55" i="13"/>
  <c r="K56" i="13" s="1"/>
  <c r="J55" i="13"/>
  <c r="J56" i="13" s="1"/>
  <c r="I55" i="13"/>
  <c r="H55" i="13"/>
  <c r="G55" i="13"/>
  <c r="G56" i="13" s="1"/>
  <c r="F55" i="13"/>
  <c r="F56" i="13" s="1"/>
  <c r="E55" i="13"/>
  <c r="D55" i="13"/>
  <c r="Q30" i="13"/>
  <c r="Q56" i="13" s="1"/>
  <c r="P30" i="13"/>
  <c r="O30" i="13"/>
  <c r="N30" i="13"/>
  <c r="M30" i="13"/>
  <c r="L30" i="13"/>
  <c r="K30" i="13"/>
  <c r="J30" i="13"/>
  <c r="I30" i="13"/>
  <c r="I56" i="13" s="1"/>
  <c r="H30" i="13"/>
  <c r="G30" i="13"/>
  <c r="F30" i="13"/>
  <c r="E30" i="13"/>
  <c r="D30" i="13"/>
  <c r="O19" i="13"/>
  <c r="H19" i="13"/>
  <c r="G19" i="13"/>
  <c r="F19" i="13"/>
  <c r="E19" i="13"/>
  <c r="D19" i="13"/>
  <c r="Q19" i="13"/>
  <c r="P19" i="13"/>
  <c r="N19" i="13"/>
  <c r="M19" i="13"/>
  <c r="L19" i="13"/>
  <c r="K19" i="13"/>
  <c r="J19" i="13"/>
  <c r="I19" i="13"/>
  <c r="K75" i="7"/>
  <c r="J75" i="7"/>
  <c r="I75" i="7"/>
  <c r="H75" i="7"/>
  <c r="G75" i="7"/>
  <c r="F75" i="7"/>
  <c r="D75" i="7"/>
  <c r="E75" i="7"/>
  <c r="H80" i="7"/>
  <c r="H61" i="7" s="1"/>
  <c r="H61" i="12" s="1"/>
  <c r="E80" i="7"/>
  <c r="E61" i="7" s="1"/>
  <c r="E61" i="12" s="1"/>
  <c r="F80" i="7"/>
  <c r="F61" i="7" s="1"/>
  <c r="F61" i="12" s="1"/>
  <c r="G80" i="7"/>
  <c r="G61" i="7" s="1"/>
  <c r="G61" i="12" s="1"/>
  <c r="D80" i="7"/>
  <c r="D61" i="7" s="1"/>
  <c r="Q17" i="7"/>
  <c r="Q19" i="7" s="1"/>
  <c r="P17" i="7"/>
  <c r="O17" i="7"/>
  <c r="O19" i="7" s="1"/>
  <c r="N17" i="7"/>
  <c r="N19" i="7" s="1"/>
  <c r="M17" i="7"/>
  <c r="M19" i="7" s="1"/>
  <c r="L17" i="7"/>
  <c r="L19" i="7" s="1"/>
  <c r="K17" i="7"/>
  <c r="K19" i="7" s="1"/>
  <c r="J17" i="7"/>
  <c r="J19" i="7" s="1"/>
  <c r="I17" i="7"/>
  <c r="I19" i="7" s="1"/>
  <c r="G19" i="7"/>
  <c r="F19" i="7"/>
  <c r="D19" i="7"/>
  <c r="P15" i="9"/>
  <c r="O15" i="9"/>
  <c r="N15" i="9"/>
  <c r="M15" i="9"/>
  <c r="L15" i="9"/>
  <c r="K15" i="9"/>
  <c r="J15" i="9"/>
  <c r="I15" i="9"/>
  <c r="H15" i="9"/>
  <c r="G15" i="9"/>
  <c r="F15" i="9"/>
  <c r="E15" i="9"/>
  <c r="D15" i="9"/>
  <c r="P13" i="9"/>
  <c r="O13" i="9"/>
  <c r="N13" i="9"/>
  <c r="M13" i="9"/>
  <c r="L13" i="9"/>
  <c r="K13" i="9"/>
  <c r="J13" i="9"/>
  <c r="I13" i="9"/>
  <c r="H13" i="9"/>
  <c r="F13" i="9"/>
  <c r="P9" i="9"/>
  <c r="O9" i="9"/>
  <c r="N9" i="9"/>
  <c r="M9" i="9"/>
  <c r="L9" i="9"/>
  <c r="K9" i="9"/>
  <c r="J9" i="9"/>
  <c r="I9" i="9"/>
  <c r="H9" i="9"/>
  <c r="G9" i="9"/>
  <c r="F9" i="9"/>
  <c r="E9" i="9"/>
  <c r="D9" i="9"/>
  <c r="C15" i="9"/>
  <c r="C9" i="9"/>
  <c r="Q54" i="12"/>
  <c r="P54" i="12"/>
  <c r="O54" i="12"/>
  <c r="N54" i="12"/>
  <c r="M54" i="12"/>
  <c r="L54" i="12"/>
  <c r="K54" i="12"/>
  <c r="J54" i="12"/>
  <c r="I54" i="12"/>
  <c r="H54" i="12"/>
  <c r="G54" i="12"/>
  <c r="F54" i="12"/>
  <c r="E54" i="12"/>
  <c r="D54" i="12"/>
  <c r="Q53" i="12"/>
  <c r="P53" i="12"/>
  <c r="O53" i="12"/>
  <c r="N53" i="12"/>
  <c r="M53" i="12"/>
  <c r="L53" i="12"/>
  <c r="K53" i="12"/>
  <c r="J53" i="12"/>
  <c r="I53" i="12"/>
  <c r="H53" i="12"/>
  <c r="G53" i="12"/>
  <c r="F53" i="12"/>
  <c r="E53" i="12"/>
  <c r="D53" i="12"/>
  <c r="Q52" i="12"/>
  <c r="P52" i="12"/>
  <c r="O52" i="12"/>
  <c r="N52" i="12"/>
  <c r="M52" i="12"/>
  <c r="L52" i="12"/>
  <c r="K52" i="12"/>
  <c r="J52" i="12"/>
  <c r="I52" i="12"/>
  <c r="H52" i="12"/>
  <c r="G52" i="12"/>
  <c r="F52" i="12"/>
  <c r="E52" i="12"/>
  <c r="D52" i="12"/>
  <c r="Q51" i="12"/>
  <c r="P51" i="12"/>
  <c r="O51" i="12"/>
  <c r="N51" i="12"/>
  <c r="M51" i="12"/>
  <c r="L51" i="12"/>
  <c r="K51" i="12"/>
  <c r="J51" i="12"/>
  <c r="I51" i="12"/>
  <c r="H51" i="12"/>
  <c r="G51" i="12"/>
  <c r="F51" i="12"/>
  <c r="E51" i="12"/>
  <c r="D51" i="12"/>
  <c r="Q50" i="12"/>
  <c r="P50" i="12"/>
  <c r="O50" i="12"/>
  <c r="N50" i="12"/>
  <c r="M50" i="12"/>
  <c r="L50" i="12"/>
  <c r="K50" i="12"/>
  <c r="J50" i="12"/>
  <c r="I50" i="12"/>
  <c r="H50" i="12"/>
  <c r="G50" i="12"/>
  <c r="F50" i="12"/>
  <c r="E50" i="12"/>
  <c r="D50" i="12"/>
  <c r="Q49" i="12"/>
  <c r="P49" i="12"/>
  <c r="O49" i="12"/>
  <c r="N49" i="12"/>
  <c r="M49" i="12"/>
  <c r="L49" i="12"/>
  <c r="K49" i="12"/>
  <c r="J49" i="12"/>
  <c r="I49" i="12"/>
  <c r="H49" i="12"/>
  <c r="G49" i="12"/>
  <c r="F49" i="12"/>
  <c r="E49" i="12"/>
  <c r="D49" i="12"/>
  <c r="Q48" i="12"/>
  <c r="P48" i="12"/>
  <c r="O48" i="12"/>
  <c r="N48" i="12"/>
  <c r="M48" i="12"/>
  <c r="L48" i="12"/>
  <c r="K48" i="12"/>
  <c r="J48" i="12"/>
  <c r="I48" i="12"/>
  <c r="H48" i="12"/>
  <c r="G48" i="12"/>
  <c r="F48" i="12"/>
  <c r="E48" i="12"/>
  <c r="D48" i="12"/>
  <c r="Q47" i="12"/>
  <c r="P47" i="12"/>
  <c r="O47" i="12"/>
  <c r="N47" i="12"/>
  <c r="M47" i="12"/>
  <c r="L47" i="12"/>
  <c r="K47" i="12"/>
  <c r="J47" i="12"/>
  <c r="I47" i="12"/>
  <c r="H47" i="12"/>
  <c r="G47" i="12"/>
  <c r="F47" i="12"/>
  <c r="E47" i="12"/>
  <c r="D47" i="12"/>
  <c r="Q46" i="12"/>
  <c r="P46" i="12"/>
  <c r="O46" i="12"/>
  <c r="N46" i="12"/>
  <c r="M46" i="12"/>
  <c r="L46" i="12"/>
  <c r="K46" i="12"/>
  <c r="J46" i="12"/>
  <c r="I46" i="12"/>
  <c r="H46" i="12"/>
  <c r="G46" i="12"/>
  <c r="F46" i="12"/>
  <c r="E46" i="12"/>
  <c r="D46" i="12"/>
  <c r="Q45" i="12"/>
  <c r="P45" i="12"/>
  <c r="O45" i="12"/>
  <c r="N45" i="12"/>
  <c r="M45" i="12"/>
  <c r="L45" i="12"/>
  <c r="K45" i="12"/>
  <c r="J45" i="12"/>
  <c r="I45" i="12"/>
  <c r="H45" i="12"/>
  <c r="G45" i="12"/>
  <c r="F45" i="12"/>
  <c r="E45" i="12"/>
  <c r="D45" i="12"/>
  <c r="Q44" i="12"/>
  <c r="P44" i="12"/>
  <c r="O44" i="12"/>
  <c r="N44" i="12"/>
  <c r="M44" i="12"/>
  <c r="L44" i="12"/>
  <c r="K44" i="12"/>
  <c r="J44" i="12"/>
  <c r="I44" i="12"/>
  <c r="H44" i="12"/>
  <c r="G44" i="12"/>
  <c r="F44" i="12"/>
  <c r="E44" i="12"/>
  <c r="D44" i="12"/>
  <c r="Q43" i="12"/>
  <c r="P43" i="12"/>
  <c r="O43" i="12"/>
  <c r="N43" i="12"/>
  <c r="M43" i="12"/>
  <c r="L43" i="12"/>
  <c r="K43" i="12"/>
  <c r="J43" i="12"/>
  <c r="I43" i="12"/>
  <c r="H43" i="12"/>
  <c r="G43" i="12"/>
  <c r="F43" i="12"/>
  <c r="E43" i="12"/>
  <c r="D43" i="12"/>
  <c r="Q42" i="12"/>
  <c r="P42" i="12"/>
  <c r="O42" i="12"/>
  <c r="N42" i="12"/>
  <c r="M42" i="12"/>
  <c r="L42" i="12"/>
  <c r="K42" i="12"/>
  <c r="J42" i="12"/>
  <c r="I42" i="12"/>
  <c r="H42" i="12"/>
  <c r="G42" i="12"/>
  <c r="F42" i="12"/>
  <c r="E42" i="12"/>
  <c r="D42" i="12"/>
  <c r="Q41" i="12"/>
  <c r="P41" i="12"/>
  <c r="O41" i="12"/>
  <c r="N41" i="12"/>
  <c r="M41" i="12"/>
  <c r="L41" i="12"/>
  <c r="K41" i="12"/>
  <c r="J41" i="12"/>
  <c r="I41" i="12"/>
  <c r="H41" i="12"/>
  <c r="G41" i="12"/>
  <c r="F41" i="12"/>
  <c r="E41" i="12"/>
  <c r="D41" i="12"/>
  <c r="Q40" i="12"/>
  <c r="P40" i="12"/>
  <c r="O40" i="12"/>
  <c r="N40" i="12"/>
  <c r="M40" i="12"/>
  <c r="L40" i="12"/>
  <c r="K40" i="12"/>
  <c r="J40" i="12"/>
  <c r="I40" i="12"/>
  <c r="H40" i="12"/>
  <c r="G40" i="12"/>
  <c r="F40" i="12"/>
  <c r="E40" i="12"/>
  <c r="D40" i="12"/>
  <c r="Q39" i="12"/>
  <c r="P39" i="12"/>
  <c r="O39" i="12"/>
  <c r="N39" i="12"/>
  <c r="M39" i="12"/>
  <c r="L39" i="12"/>
  <c r="K39" i="12"/>
  <c r="J39" i="12"/>
  <c r="I39" i="12"/>
  <c r="H39" i="12"/>
  <c r="G39" i="12"/>
  <c r="F39" i="12"/>
  <c r="E39" i="12"/>
  <c r="D39" i="12"/>
  <c r="Q38" i="12"/>
  <c r="P38" i="12"/>
  <c r="O38" i="12"/>
  <c r="N38" i="12"/>
  <c r="M38" i="12"/>
  <c r="L38" i="12"/>
  <c r="K38" i="12"/>
  <c r="J38" i="12"/>
  <c r="I38" i="12"/>
  <c r="H38" i="12"/>
  <c r="G38" i="12"/>
  <c r="F38" i="12"/>
  <c r="E38" i="12"/>
  <c r="D38" i="12"/>
  <c r="Q37" i="12"/>
  <c r="P37" i="12"/>
  <c r="O37" i="12"/>
  <c r="N37" i="12"/>
  <c r="M37" i="12"/>
  <c r="L37" i="12"/>
  <c r="K37" i="12"/>
  <c r="J37" i="12"/>
  <c r="I37" i="12"/>
  <c r="H37" i="12"/>
  <c r="G37" i="12"/>
  <c r="F37" i="12"/>
  <c r="E37" i="12"/>
  <c r="D37" i="12"/>
  <c r="Q36" i="12"/>
  <c r="P36" i="12"/>
  <c r="O36" i="12"/>
  <c r="N36" i="12"/>
  <c r="M36" i="12"/>
  <c r="L36" i="12"/>
  <c r="K36" i="12"/>
  <c r="J36" i="12"/>
  <c r="I36" i="12"/>
  <c r="H36" i="12"/>
  <c r="G36" i="12"/>
  <c r="F36" i="12"/>
  <c r="E36" i="12"/>
  <c r="D36" i="12"/>
  <c r="Q35" i="12"/>
  <c r="P35" i="12"/>
  <c r="O35" i="12"/>
  <c r="N35" i="12"/>
  <c r="M35" i="12"/>
  <c r="L35" i="12"/>
  <c r="K35" i="12"/>
  <c r="J35" i="12"/>
  <c r="I35" i="12"/>
  <c r="H35" i="12"/>
  <c r="G35" i="12"/>
  <c r="F35" i="12"/>
  <c r="E35" i="12"/>
  <c r="D35" i="12"/>
  <c r="Q34" i="12"/>
  <c r="P34" i="12"/>
  <c r="O34" i="12"/>
  <c r="N34" i="12"/>
  <c r="M34" i="12"/>
  <c r="L34" i="12"/>
  <c r="K34" i="12"/>
  <c r="J34" i="12"/>
  <c r="I34" i="12"/>
  <c r="H34" i="12"/>
  <c r="G34" i="12"/>
  <c r="F34" i="12"/>
  <c r="E34" i="12"/>
  <c r="D34" i="12"/>
  <c r="Q33" i="12"/>
  <c r="P33" i="12"/>
  <c r="O33" i="12"/>
  <c r="N33" i="12"/>
  <c r="M33" i="12"/>
  <c r="L33" i="12"/>
  <c r="K33" i="12"/>
  <c r="J33" i="12"/>
  <c r="I33" i="12"/>
  <c r="H33" i="12"/>
  <c r="G33" i="12"/>
  <c r="F33" i="12"/>
  <c r="E33" i="12"/>
  <c r="D33" i="12"/>
  <c r="Q29" i="12"/>
  <c r="P29" i="12"/>
  <c r="O29" i="12"/>
  <c r="N29" i="12"/>
  <c r="M29" i="12"/>
  <c r="L29" i="12"/>
  <c r="K29" i="12"/>
  <c r="J29" i="12"/>
  <c r="I29" i="12"/>
  <c r="H29" i="12"/>
  <c r="G29" i="12"/>
  <c r="F29" i="12"/>
  <c r="E29" i="12"/>
  <c r="D29" i="12"/>
  <c r="Q28" i="12"/>
  <c r="P28" i="12"/>
  <c r="O28" i="12"/>
  <c r="N28" i="12"/>
  <c r="M28" i="12"/>
  <c r="L28" i="12"/>
  <c r="K28" i="12"/>
  <c r="J28" i="12"/>
  <c r="I28" i="12"/>
  <c r="H28" i="12"/>
  <c r="G28" i="12"/>
  <c r="F28" i="12"/>
  <c r="E28" i="12"/>
  <c r="D28" i="12"/>
  <c r="Q27" i="12"/>
  <c r="P27" i="12"/>
  <c r="O27" i="12"/>
  <c r="N27" i="12"/>
  <c r="M27" i="12"/>
  <c r="L27" i="12"/>
  <c r="K27" i="12"/>
  <c r="J27" i="12"/>
  <c r="I27" i="12"/>
  <c r="H27" i="12"/>
  <c r="G27" i="12"/>
  <c r="F27" i="12"/>
  <c r="E27" i="12"/>
  <c r="D27" i="12"/>
  <c r="Q26" i="12"/>
  <c r="P26" i="12"/>
  <c r="O26" i="12"/>
  <c r="N26" i="12"/>
  <c r="M26" i="12"/>
  <c r="L26" i="12"/>
  <c r="K26" i="12"/>
  <c r="J26" i="12"/>
  <c r="I26" i="12"/>
  <c r="H26" i="12"/>
  <c r="G26" i="12"/>
  <c r="F26" i="12"/>
  <c r="E26" i="12"/>
  <c r="D26" i="12"/>
  <c r="Q25" i="12"/>
  <c r="P25" i="12"/>
  <c r="O25" i="12"/>
  <c r="N25" i="12"/>
  <c r="M25" i="12"/>
  <c r="L25" i="12"/>
  <c r="K25" i="12"/>
  <c r="J25" i="12"/>
  <c r="I25" i="12"/>
  <c r="H25" i="12"/>
  <c r="G25" i="12"/>
  <c r="F25" i="12"/>
  <c r="E25" i="12"/>
  <c r="D25" i="12"/>
  <c r="Q24" i="12"/>
  <c r="P24" i="12"/>
  <c r="O24" i="12"/>
  <c r="N24" i="12"/>
  <c r="M24" i="12"/>
  <c r="L24" i="12"/>
  <c r="K24" i="12"/>
  <c r="J24" i="12"/>
  <c r="I24" i="12"/>
  <c r="H24" i="12"/>
  <c r="G24" i="12"/>
  <c r="F24" i="12"/>
  <c r="E24" i="12"/>
  <c r="D24" i="12"/>
  <c r="Q18" i="12"/>
  <c r="P18" i="12"/>
  <c r="O18" i="12"/>
  <c r="N18" i="12"/>
  <c r="M18" i="12"/>
  <c r="L18" i="12"/>
  <c r="K18" i="12"/>
  <c r="J18" i="12"/>
  <c r="I18" i="12"/>
  <c r="H18" i="12"/>
  <c r="G18" i="12"/>
  <c r="F18" i="12"/>
  <c r="E18" i="12"/>
  <c r="D18" i="12"/>
  <c r="I17" i="12"/>
  <c r="Q16" i="12"/>
  <c r="P16" i="12"/>
  <c r="O16" i="12"/>
  <c r="N16" i="12"/>
  <c r="M16" i="12"/>
  <c r="L16" i="12"/>
  <c r="K16" i="12"/>
  <c r="J16" i="12"/>
  <c r="I16" i="12"/>
  <c r="H16" i="12"/>
  <c r="G16" i="12"/>
  <c r="F16" i="12"/>
  <c r="E16" i="12"/>
  <c r="D16" i="12"/>
  <c r="Q15" i="12"/>
  <c r="P15" i="12"/>
  <c r="O15" i="12"/>
  <c r="N15" i="12"/>
  <c r="M15" i="12"/>
  <c r="L15" i="12"/>
  <c r="K15" i="12"/>
  <c r="J15" i="12"/>
  <c r="I15" i="12"/>
  <c r="H15" i="12"/>
  <c r="G15" i="12"/>
  <c r="F15" i="12"/>
  <c r="E15" i="12"/>
  <c r="D15" i="12"/>
  <c r="Q14" i="12"/>
  <c r="P14" i="12"/>
  <c r="O14" i="12"/>
  <c r="N14" i="12"/>
  <c r="M14" i="12"/>
  <c r="L14" i="12"/>
  <c r="K14" i="12"/>
  <c r="J14" i="12"/>
  <c r="I14" i="12"/>
  <c r="H14" i="12"/>
  <c r="G14" i="12"/>
  <c r="F14" i="12"/>
  <c r="E14" i="12"/>
  <c r="D14" i="12"/>
  <c r="Q13" i="12"/>
  <c r="P13" i="12"/>
  <c r="O13" i="12"/>
  <c r="N13" i="12"/>
  <c r="M13" i="12"/>
  <c r="L13" i="12"/>
  <c r="K13" i="12"/>
  <c r="J13" i="12"/>
  <c r="I13" i="12"/>
  <c r="H13" i="12"/>
  <c r="G13" i="12"/>
  <c r="F13" i="12"/>
  <c r="E13" i="12"/>
  <c r="D13" i="12"/>
  <c r="Q12" i="12"/>
  <c r="P12" i="12"/>
  <c r="O12" i="12"/>
  <c r="N12" i="12"/>
  <c r="M12" i="12"/>
  <c r="L12" i="12"/>
  <c r="K12" i="12"/>
  <c r="J12" i="12"/>
  <c r="I12" i="12"/>
  <c r="H12" i="12"/>
  <c r="G12" i="12"/>
  <c r="F12" i="12"/>
  <c r="E12" i="12"/>
  <c r="D12" i="12"/>
  <c r="Q3" i="12"/>
  <c r="P3" i="12"/>
  <c r="O3" i="12"/>
  <c r="N3" i="12"/>
  <c r="M3" i="12"/>
  <c r="L3" i="12"/>
  <c r="K3" i="12"/>
  <c r="J3" i="12"/>
  <c r="I3" i="12"/>
  <c r="Q55" i="7"/>
  <c r="Q55" i="12" s="1"/>
  <c r="P55" i="7"/>
  <c r="P55" i="12" s="1"/>
  <c r="O55" i="7"/>
  <c r="O55" i="12" s="1"/>
  <c r="N55" i="7"/>
  <c r="N55" i="12" s="1"/>
  <c r="M55" i="7"/>
  <c r="M55" i="12" s="1"/>
  <c r="L55" i="7"/>
  <c r="K55" i="7"/>
  <c r="K55" i="12" s="1"/>
  <c r="J55" i="7"/>
  <c r="J55" i="12" s="1"/>
  <c r="I55" i="7"/>
  <c r="I55" i="12" s="1"/>
  <c r="H55" i="7"/>
  <c r="H55" i="12" s="1"/>
  <c r="G55" i="7"/>
  <c r="G55" i="12" s="1"/>
  <c r="F55" i="7"/>
  <c r="F55" i="12" s="1"/>
  <c r="E55" i="7"/>
  <c r="E55" i="12" s="1"/>
  <c r="D55" i="7"/>
  <c r="D55" i="12" s="1"/>
  <c r="Q9" i="7"/>
  <c r="Q9" i="12" s="1"/>
  <c r="P9" i="7"/>
  <c r="P9" i="12" s="1"/>
  <c r="O9" i="7"/>
  <c r="O9" i="12" s="1"/>
  <c r="N9" i="7"/>
  <c r="N9" i="12" s="1"/>
  <c r="M9" i="7"/>
  <c r="M9" i="12" s="1"/>
  <c r="L9" i="7"/>
  <c r="L9" i="12" s="1"/>
  <c r="K9" i="7"/>
  <c r="K9" i="12" s="1"/>
  <c r="J9" i="7"/>
  <c r="J9" i="12" s="1"/>
  <c r="I9" i="7"/>
  <c r="I9" i="12" s="1"/>
  <c r="D19" i="9" l="1"/>
  <c r="C19" i="9"/>
  <c r="D83" i="12"/>
  <c r="H9" i="12"/>
  <c r="F21" i="12"/>
  <c r="F19" i="9"/>
  <c r="D21" i="14"/>
  <c r="D21" i="12" s="1"/>
  <c r="F9" i="12"/>
  <c r="F80" i="12"/>
  <c r="H80" i="12"/>
  <c r="G80" i="12"/>
  <c r="C14" i="9"/>
  <c r="C13" i="9" s="1"/>
  <c r="D14" i="9"/>
  <c r="D13" i="9" s="1"/>
  <c r="D80" i="12"/>
  <c r="E80" i="12"/>
  <c r="O21" i="13"/>
  <c r="I21" i="13"/>
  <c r="I58" i="13" s="1"/>
  <c r="G21" i="13"/>
  <c r="E58" i="14"/>
  <c r="E59" i="14" s="1"/>
  <c r="G58" i="14"/>
  <c r="G64" i="14" s="1"/>
  <c r="K61" i="14"/>
  <c r="O61" i="14"/>
  <c r="I61" i="14"/>
  <c r="M61" i="14"/>
  <c r="M64" i="14" s="1"/>
  <c r="M61" i="13"/>
  <c r="N61" i="13"/>
  <c r="I61" i="13"/>
  <c r="Q61" i="13"/>
  <c r="F58" i="13"/>
  <c r="F64" i="13" s="1"/>
  <c r="D56" i="13"/>
  <c r="G58" i="13"/>
  <c r="G59" i="13" s="1"/>
  <c r="O58" i="13"/>
  <c r="O59" i="13" s="1"/>
  <c r="D21" i="13"/>
  <c r="H21" i="13"/>
  <c r="L21" i="13"/>
  <c r="L58" i="13" s="1"/>
  <c r="K21" i="13"/>
  <c r="K58" i="13" s="1"/>
  <c r="K59" i="13" s="1"/>
  <c r="H56" i="13"/>
  <c r="P56" i="13"/>
  <c r="P58" i="13" s="1"/>
  <c r="K61" i="13"/>
  <c r="O61" i="13"/>
  <c r="E21" i="13"/>
  <c r="M21" i="13"/>
  <c r="M58" i="13" s="1"/>
  <c r="M59" i="13" s="1"/>
  <c r="E56" i="13"/>
  <c r="M56" i="13"/>
  <c r="L61" i="13"/>
  <c r="H58" i="14"/>
  <c r="P21" i="14"/>
  <c r="P58" i="14" s="1"/>
  <c r="J58" i="14"/>
  <c r="I58" i="14"/>
  <c r="Q58" i="14"/>
  <c r="K58" i="14"/>
  <c r="O59" i="14"/>
  <c r="O64" i="14"/>
  <c r="L21" i="14"/>
  <c r="L58" i="14" s="1"/>
  <c r="M59" i="14"/>
  <c r="F59" i="14"/>
  <c r="F64" i="14"/>
  <c r="N21" i="14"/>
  <c r="N58" i="14" s="1"/>
  <c r="J64" i="13"/>
  <c r="J59" i="13"/>
  <c r="Q64" i="13"/>
  <c r="Q59" i="13"/>
  <c r="N21" i="13"/>
  <c r="N58" i="13" s="1"/>
  <c r="L21" i="7"/>
  <c r="J21" i="7"/>
  <c r="J21" i="12" s="1"/>
  <c r="F17" i="12"/>
  <c r="I21" i="7"/>
  <c r="M21" i="7"/>
  <c r="M21" i="12" s="1"/>
  <c r="Q21" i="7"/>
  <c r="Q21" i="12" s="1"/>
  <c r="F21" i="7"/>
  <c r="N21" i="7"/>
  <c r="N21" i="12" s="1"/>
  <c r="L55" i="12"/>
  <c r="K21" i="7"/>
  <c r="K21" i="12" s="1"/>
  <c r="O21" i="7"/>
  <c r="O21" i="12" s="1"/>
  <c r="L17" i="12"/>
  <c r="G21" i="7"/>
  <c r="E17" i="12"/>
  <c r="H17" i="12"/>
  <c r="P17" i="12"/>
  <c r="G17" i="12"/>
  <c r="E19" i="7"/>
  <c r="E21" i="7" s="1"/>
  <c r="M17" i="12"/>
  <c r="K17" i="12"/>
  <c r="N17" i="12"/>
  <c r="O17" i="12"/>
  <c r="H19" i="7"/>
  <c r="H21" i="7" s="1"/>
  <c r="P19" i="7"/>
  <c r="P21" i="7" s="1"/>
  <c r="P21" i="12" s="1"/>
  <c r="I21" i="12"/>
  <c r="L21" i="12"/>
  <c r="Q17" i="12"/>
  <c r="J17" i="12"/>
  <c r="D17" i="12"/>
  <c r="H83" i="12" l="1"/>
  <c r="G19" i="9"/>
  <c r="F83" i="12"/>
  <c r="E19" i="9"/>
  <c r="G59" i="14"/>
  <c r="E64" i="14"/>
  <c r="E65" i="14" s="1"/>
  <c r="D58" i="14"/>
  <c r="D64" i="14" s="1"/>
  <c r="D65" i="14" s="1"/>
  <c r="D59" i="14"/>
  <c r="O64" i="13"/>
  <c r="O65" i="13" s="1"/>
  <c r="K64" i="13"/>
  <c r="K66" i="13" s="1"/>
  <c r="K67" i="13" s="1"/>
  <c r="K68" i="13" s="1"/>
  <c r="F59" i="13"/>
  <c r="G64" i="13"/>
  <c r="G65" i="13" s="1"/>
  <c r="L64" i="13"/>
  <c r="L65" i="13" s="1"/>
  <c r="E58" i="13"/>
  <c r="E59" i="13" s="1"/>
  <c r="D58" i="13"/>
  <c r="D59" i="13" s="1"/>
  <c r="E64" i="13"/>
  <c r="E66" i="13" s="1"/>
  <c r="E67" i="13" s="1"/>
  <c r="E68" i="13" s="1"/>
  <c r="P59" i="13"/>
  <c r="P64" i="13"/>
  <c r="P65" i="13" s="1"/>
  <c r="L59" i="13"/>
  <c r="H58" i="13"/>
  <c r="M64" i="13"/>
  <c r="M65" i="13" s="1"/>
  <c r="M65" i="14"/>
  <c r="M66" i="14"/>
  <c r="M67" i="14"/>
  <c r="M68" i="14" s="1"/>
  <c r="G66" i="14"/>
  <c r="G67" i="14" s="1"/>
  <c r="G68" i="14" s="1"/>
  <c r="G65" i="14"/>
  <c r="K64" i="14"/>
  <c r="K59" i="14"/>
  <c r="L64" i="14"/>
  <c r="L59" i="14"/>
  <c r="Q64" i="14"/>
  <c r="Q59" i="14"/>
  <c r="N59" i="14"/>
  <c r="N64" i="14"/>
  <c r="I64" i="14"/>
  <c r="I59" i="14"/>
  <c r="F65" i="14"/>
  <c r="F66" i="14"/>
  <c r="F67" i="14" s="1"/>
  <c r="F68" i="14" s="1"/>
  <c r="D66" i="14"/>
  <c r="D67" i="14" s="1"/>
  <c r="J64" i="14"/>
  <c r="J59" i="14"/>
  <c r="H59" i="14"/>
  <c r="H64" i="14"/>
  <c r="O66" i="14"/>
  <c r="O67" i="14" s="1"/>
  <c r="O68" i="14" s="1"/>
  <c r="O65" i="14"/>
  <c r="P59" i="14"/>
  <c r="P64" i="14"/>
  <c r="I64" i="13"/>
  <c r="I59" i="13"/>
  <c r="J65" i="13"/>
  <c r="J66" i="13"/>
  <c r="J67" i="13" s="1"/>
  <c r="J68" i="13" s="1"/>
  <c r="F65" i="13"/>
  <c r="F66" i="13"/>
  <c r="F67" i="13"/>
  <c r="F68" i="13" s="1"/>
  <c r="K65" i="13"/>
  <c r="N59" i="13"/>
  <c r="N64" i="13"/>
  <c r="Q65" i="13"/>
  <c r="Q66" i="13"/>
  <c r="Q67" i="13" s="1"/>
  <c r="Q68" i="13" s="1"/>
  <c r="G66" i="13"/>
  <c r="G67" i="13" s="1"/>
  <c r="G68" i="13" s="1"/>
  <c r="O66" i="13"/>
  <c r="O67" i="13"/>
  <c r="O68" i="13" s="1"/>
  <c r="E65" i="13"/>
  <c r="Q30" i="7"/>
  <c r="P30" i="7"/>
  <c r="O30" i="7"/>
  <c r="N30" i="7"/>
  <c r="M30" i="7"/>
  <c r="L30" i="7"/>
  <c r="K30" i="7"/>
  <c r="J30" i="7"/>
  <c r="I30" i="7"/>
  <c r="H30" i="7"/>
  <c r="H30" i="12" s="1"/>
  <c r="G30" i="7"/>
  <c r="G30" i="12" s="1"/>
  <c r="F30" i="7"/>
  <c r="F30" i="12" s="1"/>
  <c r="E30" i="7"/>
  <c r="E30" i="12" s="1"/>
  <c r="D30" i="7"/>
  <c r="D30" i="12" s="1"/>
  <c r="Q19" i="12"/>
  <c r="P19" i="12"/>
  <c r="O19" i="12"/>
  <c r="N19" i="12"/>
  <c r="M19" i="12"/>
  <c r="L19" i="12"/>
  <c r="K19" i="12"/>
  <c r="J19" i="12"/>
  <c r="I19" i="12"/>
  <c r="E66" i="14" l="1"/>
  <c r="E67" i="14" s="1"/>
  <c r="E68" i="14" s="1"/>
  <c r="P66" i="13"/>
  <c r="P67" i="13" s="1"/>
  <c r="P68" i="13" s="1"/>
  <c r="M66" i="13"/>
  <c r="M67" i="13" s="1"/>
  <c r="M68" i="13" s="1"/>
  <c r="L66" i="13"/>
  <c r="L67" i="13" s="1"/>
  <c r="L68" i="13" s="1"/>
  <c r="D64" i="13"/>
  <c r="H64" i="13"/>
  <c r="H59" i="13"/>
  <c r="D68" i="14"/>
  <c r="D69" i="14"/>
  <c r="K66" i="14"/>
  <c r="K67" i="14" s="1"/>
  <c r="K68" i="14" s="1"/>
  <c r="K65" i="14"/>
  <c r="N65" i="14"/>
  <c r="N66" i="14"/>
  <c r="N67" i="14" s="1"/>
  <c r="N68" i="14" s="1"/>
  <c r="I65" i="14"/>
  <c r="I66" i="14"/>
  <c r="I67" i="14" s="1"/>
  <c r="I68" i="14" s="1"/>
  <c r="Q65" i="14"/>
  <c r="Q66" i="14"/>
  <c r="Q67" i="14" s="1"/>
  <c r="Q68" i="14" s="1"/>
  <c r="P66" i="14"/>
  <c r="P67" i="14"/>
  <c r="P68" i="14" s="1"/>
  <c r="P65" i="14"/>
  <c r="H66" i="14"/>
  <c r="H67" i="14" s="1"/>
  <c r="H68" i="14" s="1"/>
  <c r="H65" i="14"/>
  <c r="J65" i="14"/>
  <c r="J66" i="14"/>
  <c r="J67" i="14" s="1"/>
  <c r="J68" i="14" s="1"/>
  <c r="L65" i="14"/>
  <c r="L66" i="14"/>
  <c r="L67" i="14"/>
  <c r="L68" i="14" s="1"/>
  <c r="N65" i="13"/>
  <c r="N66" i="13"/>
  <c r="N67" i="13" s="1"/>
  <c r="N68" i="13" s="1"/>
  <c r="I65" i="13"/>
  <c r="I66" i="13"/>
  <c r="I67" i="13" s="1"/>
  <c r="I68" i="13" s="1"/>
  <c r="E56" i="7"/>
  <c r="I30" i="12"/>
  <c r="I56" i="7"/>
  <c r="I56" i="12" s="1"/>
  <c r="I58" i="12" s="1"/>
  <c r="F56" i="7"/>
  <c r="J30" i="12"/>
  <c r="J56" i="7"/>
  <c r="J56" i="12" s="1"/>
  <c r="J58" i="12" s="1"/>
  <c r="N30" i="12"/>
  <c r="N56" i="7"/>
  <c r="N56" i="12" s="1"/>
  <c r="N58" i="12" s="1"/>
  <c r="M30" i="12"/>
  <c r="M56" i="7"/>
  <c r="M56" i="12" s="1"/>
  <c r="M58" i="12" s="1"/>
  <c r="G56" i="7"/>
  <c r="K56" i="7"/>
  <c r="K56" i="12" s="1"/>
  <c r="K58" i="12" s="1"/>
  <c r="K30" i="12"/>
  <c r="O30" i="12"/>
  <c r="O56" i="7"/>
  <c r="O56" i="12" s="1"/>
  <c r="O58" i="12" s="1"/>
  <c r="Q30" i="12"/>
  <c r="Q56" i="7"/>
  <c r="Q56" i="12" s="1"/>
  <c r="Q58" i="12" s="1"/>
  <c r="H56" i="7"/>
  <c r="L30" i="12"/>
  <c r="L56" i="7"/>
  <c r="L56" i="12" s="1"/>
  <c r="L58" i="12" s="1"/>
  <c r="P30" i="12"/>
  <c r="P56" i="7"/>
  <c r="P56" i="12" s="1"/>
  <c r="P58" i="12" s="1"/>
  <c r="D21" i="7"/>
  <c r="M58" i="7"/>
  <c r="D56" i="7"/>
  <c r="D56" i="12" s="1"/>
  <c r="P58" i="7"/>
  <c r="N58" i="7"/>
  <c r="Q61" i="7"/>
  <c r="Q61" i="12" s="1"/>
  <c r="P7" i="9" s="1"/>
  <c r="P6" i="9" s="1"/>
  <c r="I61" i="7"/>
  <c r="I61" i="12" s="1"/>
  <c r="H7" i="9" s="1"/>
  <c r="H6" i="9" s="1"/>
  <c r="M61" i="7"/>
  <c r="M61" i="12" s="1"/>
  <c r="L7" i="9" s="1"/>
  <c r="L6" i="9" s="1"/>
  <c r="P61" i="7"/>
  <c r="P61" i="12" s="1"/>
  <c r="O7" i="9" s="1"/>
  <c r="O6" i="9" s="1"/>
  <c r="L61" i="7"/>
  <c r="L61" i="12" s="1"/>
  <c r="K7" i="9" s="1"/>
  <c r="K6" i="9" s="1"/>
  <c r="O61" i="7"/>
  <c r="O61" i="12" s="1"/>
  <c r="N7" i="9" s="1"/>
  <c r="N6" i="9" s="1"/>
  <c r="N61" i="7"/>
  <c r="N61" i="12" s="1"/>
  <c r="M7" i="9" s="1"/>
  <c r="M6" i="9" s="1"/>
  <c r="K61" i="7"/>
  <c r="K61" i="12" s="1"/>
  <c r="J7" i="9" s="1"/>
  <c r="J6" i="9" s="1"/>
  <c r="J61" i="7"/>
  <c r="J61" i="12" s="1"/>
  <c r="I7" i="9" s="1"/>
  <c r="I6" i="9" s="1"/>
  <c r="E69" i="14" l="1"/>
  <c r="F69" i="14" s="1"/>
  <c r="G69" i="14" s="1"/>
  <c r="H69" i="14" s="1"/>
  <c r="I69" i="14" s="1"/>
  <c r="J69" i="14" s="1"/>
  <c r="K69" i="14" s="1"/>
  <c r="L69" i="14" s="1"/>
  <c r="M69" i="14" s="1"/>
  <c r="N69" i="14" s="1"/>
  <c r="O69" i="14" s="1"/>
  <c r="P69" i="14" s="1"/>
  <c r="Q69" i="14" s="1"/>
  <c r="F56" i="12"/>
  <c r="H56" i="12"/>
  <c r="C20" i="9"/>
  <c r="D84" i="12"/>
  <c r="G56" i="12"/>
  <c r="E56" i="12"/>
  <c r="D66" i="13"/>
  <c r="D67" i="13" s="1"/>
  <c r="D65" i="13"/>
  <c r="H65" i="13"/>
  <c r="H66" i="13"/>
  <c r="H67" i="13" s="1"/>
  <c r="E58" i="7"/>
  <c r="I58" i="7"/>
  <c r="I64" i="7" s="1"/>
  <c r="D58" i="12"/>
  <c r="F58" i="7"/>
  <c r="F64" i="7" s="1"/>
  <c r="F66" i="7" s="1"/>
  <c r="F66" i="12" s="1"/>
  <c r="O58" i="7"/>
  <c r="Q59" i="12"/>
  <c r="Q64" i="12"/>
  <c r="J64" i="12"/>
  <c r="J59" i="12"/>
  <c r="L58" i="7"/>
  <c r="L64" i="7" s="1"/>
  <c r="L66" i="7" s="1"/>
  <c r="K59" i="12"/>
  <c r="K64" i="12"/>
  <c r="L59" i="12"/>
  <c r="L64" i="12"/>
  <c r="M59" i="12"/>
  <c r="M64" i="12"/>
  <c r="I59" i="12"/>
  <c r="I64" i="12"/>
  <c r="P64" i="12"/>
  <c r="P59" i="12"/>
  <c r="O64" i="12"/>
  <c r="O59" i="12"/>
  <c r="N59" i="12"/>
  <c r="N64" i="12"/>
  <c r="Q58" i="7"/>
  <c r="Q64" i="7" s="1"/>
  <c r="Q66" i="7" s="1"/>
  <c r="H58" i="7"/>
  <c r="G58" i="7"/>
  <c r="G64" i="7" s="1"/>
  <c r="G66" i="7" s="1"/>
  <c r="G66" i="12" s="1"/>
  <c r="K58" i="7"/>
  <c r="J58" i="7"/>
  <c r="J59" i="7" s="1"/>
  <c r="M64" i="7"/>
  <c r="N64" i="7"/>
  <c r="D58" i="7"/>
  <c r="D64" i="7" s="1"/>
  <c r="D66" i="7" s="1"/>
  <c r="D66" i="12" s="1"/>
  <c r="D20" i="9" l="1"/>
  <c r="E84" i="12"/>
  <c r="F84" i="12"/>
  <c r="E20" i="9"/>
  <c r="E58" i="12"/>
  <c r="F58" i="12"/>
  <c r="G84" i="12"/>
  <c r="F20" i="9"/>
  <c r="G58" i="12"/>
  <c r="G59" i="12" s="1"/>
  <c r="F7" i="9" s="1"/>
  <c r="F6" i="9" s="1"/>
  <c r="H84" i="12"/>
  <c r="G20" i="9"/>
  <c r="H58" i="12"/>
  <c r="D68" i="13"/>
  <c r="D69" i="13"/>
  <c r="E69" i="13" s="1"/>
  <c r="F69" i="13" s="1"/>
  <c r="G69" i="13" s="1"/>
  <c r="H69" i="13" s="1"/>
  <c r="I69" i="13" s="1"/>
  <c r="J69" i="13" s="1"/>
  <c r="K69" i="13" s="1"/>
  <c r="L69" i="13" s="1"/>
  <c r="M69" i="13" s="1"/>
  <c r="N69" i="13" s="1"/>
  <c r="O69" i="13" s="1"/>
  <c r="P69" i="13" s="1"/>
  <c r="Q69" i="13" s="1"/>
  <c r="H68" i="13"/>
  <c r="D59" i="12"/>
  <c r="C7" i="9" s="1"/>
  <c r="C6" i="9" s="1"/>
  <c r="N66" i="12"/>
  <c r="N67" i="12" s="1"/>
  <c r="N65" i="12"/>
  <c r="P65" i="12"/>
  <c r="P66" i="12"/>
  <c r="P67" i="12" s="1"/>
  <c r="M66" i="12"/>
  <c r="M67" i="12" s="1"/>
  <c r="M65" i="12"/>
  <c r="K65" i="12"/>
  <c r="K66" i="12"/>
  <c r="K67" i="12" s="1"/>
  <c r="J65" i="12"/>
  <c r="J66" i="12"/>
  <c r="J67" i="12" s="1"/>
  <c r="Q66" i="12"/>
  <c r="Q67" i="12" s="1"/>
  <c r="Q65" i="12"/>
  <c r="O65" i="12"/>
  <c r="O66" i="12"/>
  <c r="O67" i="12" s="1"/>
  <c r="I65" i="12"/>
  <c r="I66" i="12"/>
  <c r="I67" i="12" s="1"/>
  <c r="L66" i="12"/>
  <c r="L67" i="12" s="1"/>
  <c r="L65" i="12"/>
  <c r="M66" i="7"/>
  <c r="M67" i="7" s="1"/>
  <c r="N66" i="7"/>
  <c r="I66" i="7"/>
  <c r="J64" i="7"/>
  <c r="L67" i="7"/>
  <c r="L68" i="7" s="1"/>
  <c r="G65" i="7"/>
  <c r="F65" i="7"/>
  <c r="P59" i="7"/>
  <c r="D65" i="7"/>
  <c r="D59" i="7"/>
  <c r="M59" i="7"/>
  <c r="F59" i="7"/>
  <c r="N65" i="7"/>
  <c r="L65" i="7"/>
  <c r="L59" i="7"/>
  <c r="H64" i="7"/>
  <c r="H66" i="7" s="1"/>
  <c r="H66" i="12" s="1"/>
  <c r="H59" i="7"/>
  <c r="I59" i="7"/>
  <c r="Q59" i="7"/>
  <c r="O64" i="7"/>
  <c r="O66" i="7" s="1"/>
  <c r="O59" i="7"/>
  <c r="G67" i="7"/>
  <c r="N59" i="7"/>
  <c r="Q65" i="7"/>
  <c r="P64" i="7"/>
  <c r="P66" i="7" s="1"/>
  <c r="G59" i="7"/>
  <c r="M65" i="7"/>
  <c r="I65" i="7"/>
  <c r="E59" i="7"/>
  <c r="E64" i="7"/>
  <c r="E66" i="7" s="1"/>
  <c r="E66" i="12" s="1"/>
  <c r="K64" i="7"/>
  <c r="K66" i="7" s="1"/>
  <c r="K59" i="7"/>
  <c r="D67" i="7"/>
  <c r="D68" i="7" s="1"/>
  <c r="Q67" i="7"/>
  <c r="H67" i="12" l="1"/>
  <c r="G5" i="9" s="1"/>
  <c r="G12" i="9" s="1"/>
  <c r="G17" i="9" s="1"/>
  <c r="G21" i="9" s="1"/>
  <c r="E59" i="12"/>
  <c r="D7" i="9" s="1"/>
  <c r="D6" i="9" s="1"/>
  <c r="E64" i="12"/>
  <c r="E65" i="12" s="1"/>
  <c r="H59" i="12"/>
  <c r="G7" i="9" s="1"/>
  <c r="G6" i="9" s="1"/>
  <c r="H64" i="12"/>
  <c r="H65" i="12" s="1"/>
  <c r="G64" i="12"/>
  <c r="G67" i="12" s="1"/>
  <c r="F5" i="9" s="1"/>
  <c r="F12" i="9" s="1"/>
  <c r="F17" i="9" s="1"/>
  <c r="F21" i="9" s="1"/>
  <c r="F59" i="12"/>
  <c r="E7" i="9" s="1"/>
  <c r="E6" i="9" s="1"/>
  <c r="F64" i="12"/>
  <c r="G65" i="12"/>
  <c r="D64" i="12"/>
  <c r="H68" i="12"/>
  <c r="N5" i="9"/>
  <c r="N12" i="9" s="1"/>
  <c r="N17" i="9" s="1"/>
  <c r="O68" i="12"/>
  <c r="I5" i="9"/>
  <c r="I12" i="9" s="1"/>
  <c r="I17" i="9" s="1"/>
  <c r="J68" i="12"/>
  <c r="K5" i="9"/>
  <c r="K12" i="9" s="1"/>
  <c r="K17" i="9" s="1"/>
  <c r="L68" i="12"/>
  <c r="M68" i="12"/>
  <c r="L5" i="9"/>
  <c r="L12" i="9" s="1"/>
  <c r="L17" i="9" s="1"/>
  <c r="I68" i="12"/>
  <c r="H5" i="9"/>
  <c r="H12" i="9" s="1"/>
  <c r="H17" i="9" s="1"/>
  <c r="K68" i="12"/>
  <c r="J5" i="9"/>
  <c r="J12" i="9" s="1"/>
  <c r="J17" i="9" s="1"/>
  <c r="P68" i="12"/>
  <c r="O5" i="9"/>
  <c r="O12" i="9" s="1"/>
  <c r="O17" i="9" s="1"/>
  <c r="Q68" i="12"/>
  <c r="P5" i="9"/>
  <c r="P12" i="9" s="1"/>
  <c r="P17" i="9" s="1"/>
  <c r="N68" i="12"/>
  <c r="M5" i="9"/>
  <c r="M12" i="9" s="1"/>
  <c r="M17" i="9" s="1"/>
  <c r="N67" i="7"/>
  <c r="N68" i="7" s="1"/>
  <c r="I67" i="7"/>
  <c r="I68" i="7" s="1"/>
  <c r="F67" i="7"/>
  <c r="J66" i="7"/>
  <c r="J65" i="7"/>
  <c r="E65" i="7"/>
  <c r="E67" i="7"/>
  <c r="G68" i="7"/>
  <c r="K65" i="7"/>
  <c r="K67" i="7"/>
  <c r="H67" i="7"/>
  <c r="H65" i="7"/>
  <c r="P65" i="7"/>
  <c r="P67" i="7"/>
  <c r="O65" i="7"/>
  <c r="O67" i="7"/>
  <c r="Q68" i="7"/>
  <c r="D69" i="7"/>
  <c r="M68" i="7"/>
  <c r="G68" i="12" l="1"/>
  <c r="F65" i="12"/>
  <c r="F67" i="12"/>
  <c r="E67" i="12"/>
  <c r="D65" i="12"/>
  <c r="D67" i="12"/>
  <c r="F68" i="7"/>
  <c r="J67" i="7"/>
  <c r="E68" i="7"/>
  <c r="H68" i="7"/>
  <c r="O68" i="7"/>
  <c r="K68" i="7"/>
  <c r="E69" i="7"/>
  <c r="P68" i="7"/>
  <c r="F68" i="12" l="1"/>
  <c r="E5" i="9"/>
  <c r="E12" i="9" s="1"/>
  <c r="E17" i="9" s="1"/>
  <c r="E21" i="9" s="1"/>
  <c r="E68" i="12"/>
  <c r="D5" i="9"/>
  <c r="D12" i="9" s="1"/>
  <c r="D17" i="9" s="1"/>
  <c r="D21" i="9" s="1"/>
  <c r="C5" i="9"/>
  <c r="C17" i="9" s="1"/>
  <c r="C21" i="9" s="1"/>
  <c r="D68" i="12"/>
  <c r="D69" i="12"/>
  <c r="E69" i="12" s="1"/>
  <c r="F69" i="12" s="1"/>
  <c r="G69" i="12" s="1"/>
  <c r="H69" i="12" s="1"/>
  <c r="I69" i="12" s="1"/>
  <c r="J69" i="12" s="1"/>
  <c r="K69" i="12" s="1"/>
  <c r="L69" i="12" s="1"/>
  <c r="M69" i="12" s="1"/>
  <c r="N69" i="12" s="1"/>
  <c r="O69" i="12" s="1"/>
  <c r="P69" i="12" s="1"/>
  <c r="Q69" i="12" s="1"/>
  <c r="J68" i="7"/>
  <c r="F69" i="7"/>
  <c r="G69" i="7" l="1"/>
  <c r="H69" i="7" l="1"/>
  <c r="I69" i="7" l="1"/>
  <c r="J69" i="7" l="1"/>
  <c r="K69" i="7" l="1"/>
  <c r="L69" i="7" l="1"/>
  <c r="M69" i="7" l="1"/>
  <c r="N69" i="7" l="1"/>
  <c r="O69" i="7" l="1"/>
  <c r="P69" i="7" l="1"/>
  <c r="Q69" i="7" l="1"/>
</calcChain>
</file>

<file path=xl/sharedStrings.xml><?xml version="1.0" encoding="utf-8"?>
<sst xmlns="http://schemas.openxmlformats.org/spreadsheetml/2006/main" count="711" uniqueCount="144">
  <si>
    <t>Income Statement</t>
  </si>
  <si>
    <t>Year 1</t>
  </si>
  <si>
    <t>Year 2</t>
  </si>
  <si>
    <t>Year 3</t>
  </si>
  <si>
    <t>Year 4</t>
  </si>
  <si>
    <t>Year 5</t>
  </si>
  <si>
    <t>Year 6</t>
  </si>
  <si>
    <t>Year 7</t>
  </si>
  <si>
    <t>Year 8</t>
  </si>
  <si>
    <t>Year 9</t>
  </si>
  <si>
    <t>Year 10</t>
  </si>
  <si>
    <t>Start-up Expenses (Compliance, Marketing, Overheads)</t>
  </si>
  <si>
    <t>Revenue</t>
  </si>
  <si>
    <t>Gross Profit</t>
  </si>
  <si>
    <t>Costs Included in COGS</t>
  </si>
  <si>
    <t xml:space="preserve">Supervision </t>
  </si>
  <si>
    <t>Production Overhead</t>
  </si>
  <si>
    <t>Rent of Production Premises</t>
  </si>
  <si>
    <t>Non-Production Electricity</t>
  </si>
  <si>
    <t>Staff Costs</t>
  </si>
  <si>
    <t>Production Maintenance</t>
  </si>
  <si>
    <t>Carriage Inwards not in COGS</t>
  </si>
  <si>
    <t>Labour (not used in Production)</t>
  </si>
  <si>
    <t>Rent (Office only)</t>
  </si>
  <si>
    <t>Management Salary</t>
  </si>
  <si>
    <t>Staff Salary</t>
  </si>
  <si>
    <t>Labour Cost  (ancillary)</t>
  </si>
  <si>
    <t>Electricity Cost</t>
  </si>
  <si>
    <t>Administration costs</t>
  </si>
  <si>
    <t>Water Cost</t>
  </si>
  <si>
    <t>Fuel Cost</t>
  </si>
  <si>
    <t>Telephone</t>
  </si>
  <si>
    <t>Internet</t>
  </si>
  <si>
    <t>Travel / Flights</t>
  </si>
  <si>
    <t>Marketing</t>
  </si>
  <si>
    <t>Company Vehicle</t>
  </si>
  <si>
    <t>QC lab</t>
  </si>
  <si>
    <t>Startup Costs</t>
  </si>
  <si>
    <t>Product development</t>
  </si>
  <si>
    <t>Others 4</t>
  </si>
  <si>
    <t>Others 5</t>
  </si>
  <si>
    <t>EBITDA</t>
  </si>
  <si>
    <t>EBITDA %</t>
  </si>
  <si>
    <t>Depreciation</t>
  </si>
  <si>
    <t>Interest</t>
  </si>
  <si>
    <t>EBT</t>
  </si>
  <si>
    <t>Cumulative Net Profit</t>
  </si>
  <si>
    <t>Year 11</t>
  </si>
  <si>
    <t>Year 12</t>
  </si>
  <si>
    <t>Year 13</t>
  </si>
  <si>
    <t>Year 14</t>
  </si>
  <si>
    <t>Total COGS</t>
  </si>
  <si>
    <t>Selling and Admin Overhead Costs</t>
  </si>
  <si>
    <t>Total Selling and Admin Overhead Costs</t>
  </si>
  <si>
    <t>Total Overhead Costs</t>
  </si>
  <si>
    <t>EBT %</t>
  </si>
  <si>
    <t>Equipment life</t>
  </si>
  <si>
    <t>Warehouse rent</t>
  </si>
  <si>
    <t>Logistics cost</t>
  </si>
  <si>
    <t>Equipment 1</t>
  </si>
  <si>
    <t>Equipment 2</t>
  </si>
  <si>
    <t>Equipment 3</t>
  </si>
  <si>
    <t>Total depreciation</t>
  </si>
  <si>
    <t>Total Production Overhead</t>
  </si>
  <si>
    <t>Miscellaneous</t>
  </si>
  <si>
    <t>If any equipment is purchased later then the depriciation should be added from that year</t>
  </si>
  <si>
    <t>Equipment cost for Depriciation Calculation</t>
  </si>
  <si>
    <t>Net Profit %</t>
  </si>
  <si>
    <t>Tax @ 15%</t>
  </si>
  <si>
    <t>Cashflow from operation</t>
  </si>
  <si>
    <t>Additions to cashflow</t>
  </si>
  <si>
    <t>Increase in accounts payable</t>
  </si>
  <si>
    <t>Increase in accounts receivable</t>
  </si>
  <si>
    <t>Increase in inventory</t>
  </si>
  <si>
    <t>Net cash from operations</t>
  </si>
  <si>
    <t>Cash flow from investing</t>
  </si>
  <si>
    <t>Cash flow from financing</t>
  </si>
  <si>
    <t>Notes payable(loan from bank)</t>
  </si>
  <si>
    <t>Net Cashflow</t>
  </si>
  <si>
    <t>Number of companies served</t>
  </si>
  <si>
    <t>service fee/company</t>
  </si>
  <si>
    <t>Development cost</t>
  </si>
  <si>
    <t>Devices/Equipment cost</t>
  </si>
  <si>
    <t>Number of final devices required</t>
  </si>
  <si>
    <t>Customer support</t>
  </si>
  <si>
    <t>Internal engineer support</t>
  </si>
  <si>
    <t>Other costs</t>
  </si>
  <si>
    <t>Assumption</t>
  </si>
  <si>
    <t>Verfication of assumption</t>
  </si>
  <si>
    <t>How was it verified</t>
  </si>
  <si>
    <t>Net income (income statement)</t>
  </si>
  <si>
    <t>Reason and logic for assumption</t>
  </si>
  <si>
    <t>Reason and logic</t>
  </si>
  <si>
    <t>Remarks if any</t>
  </si>
  <si>
    <t>Since we estimated 20 number of major companies operating in mining in Oman, for first year we estimated 25% companies will avail our service, next year 50%</t>
  </si>
  <si>
    <t>Total of 15 VR headset to be purchase for first Year and increase and replace for following years</t>
  </si>
  <si>
    <t>Development cost ~ 6000 OMR first year and every following years to modify/add new functions</t>
  </si>
  <si>
    <t>Estimated based on customers support calls</t>
  </si>
  <si>
    <t xml:space="preserve">Backup cost/ Contingency  every year 1,000 OMR for </t>
  </si>
  <si>
    <r>
      <t xml:space="preserve">We value our service as, if companies are mandated to conduct yearly HSE training courses for their employees; then their option will be to go with either tradition approach sending their employees to local training provider institutes, or hire instructor in house or go with our cost-effective solution:
Sending employees to training provider institutes	~ average of 80 employees * 50 OMR per person 	</t>
    </r>
    <r>
      <rPr>
        <b/>
        <sz val="10"/>
        <color rgb="FFFF0000"/>
        <rFont val="Calibri"/>
        <family val="2"/>
        <scheme val="minor"/>
      </rPr>
      <t xml:space="preserve">Total 4000 OMR </t>
    </r>
    <r>
      <rPr>
        <sz val="10"/>
        <color theme="1"/>
        <rFont val="Calibri"/>
        <family val="2"/>
        <scheme val="minor"/>
      </rPr>
      <t xml:space="preserve">
Inhouse Training 	Cost of instructor for 3-5 days ~ 1500 OMR: Cost of facility/space renting ~ 500 OMR, cost of materials 300 OMR  	</t>
    </r>
    <r>
      <rPr>
        <b/>
        <sz val="10"/>
        <color rgb="FFFF0000"/>
        <rFont val="Calibri"/>
        <family val="2"/>
        <scheme val="minor"/>
      </rPr>
      <t>Total 2,300 OMR</t>
    </r>
    <r>
      <rPr>
        <sz val="10"/>
        <color theme="1"/>
        <rFont val="Calibri"/>
        <family val="2"/>
        <scheme val="minor"/>
      </rPr>
      <t xml:space="preserve">
VR Training 	</t>
    </r>
    <r>
      <rPr>
        <b/>
        <sz val="10"/>
        <color rgb="FFFF0000"/>
        <rFont val="Calibri"/>
        <family val="2"/>
        <scheme val="minor"/>
      </rPr>
      <t>2,000 OMR</t>
    </r>
    <r>
      <rPr>
        <sz val="10"/>
        <color theme="1"/>
        <rFont val="Calibri"/>
        <family val="2"/>
        <scheme val="minor"/>
      </rPr>
      <t xml:space="preserve"> </t>
    </r>
  </si>
  <si>
    <t>Tax @3% for below 0.1 Mln OMR, 15% for rest</t>
  </si>
  <si>
    <t>No of visitors</t>
  </si>
  <si>
    <t>Service fee</t>
  </si>
  <si>
    <t>Fee</t>
  </si>
  <si>
    <t>No fo companies</t>
  </si>
  <si>
    <t xml:space="preserve">Our solution will be based on general Safety training procedures for mining site workers and visitors.
Some companies want to customize their own other safety training procedures for the we will offer our VR safety training services as per individual companies requirement.  </t>
  </si>
  <si>
    <t>Number of visitoers</t>
  </si>
  <si>
    <t>Since we are presenting this solution inside the mining 4IR center; and visitors are expected to visit the center for all developed application and presented technology. So, we have estimated yearly number of visitors for the center and divided for now by 3 applications income.
Example first year estimated number of visitors 1200, each application can contribute of 400 visitors per year</t>
  </si>
  <si>
    <t>Since the center facility will be used by all applications; then the yearly renting cost will be divided by 3.
Example for first year the renting fees per month 900 OMR each application will contributes of 300 OMR per month for the rent. Per year 3600 OMR</t>
  </si>
  <si>
    <t>Total of 20 VR (15 for training, 5 for visitors) headset to be purchase for first Year and increase and replace for following years</t>
  </si>
  <si>
    <t>Number of Private Schools served</t>
  </si>
  <si>
    <t>VR Toolkit Fees</t>
  </si>
  <si>
    <t xml:space="preserve">As per recorders there are over 500 private schools in Oman, out of them we estimate at least 30 top elite schools we are targeting for this product as early adapters.  for first year we estimated 20% of them will purchase our products for first year. 30% year two, 50% year3, </t>
  </si>
  <si>
    <t xml:space="preserve">Since there is no comparable product currently used by schools, we will use the cost plus to estimate our service. 6000 total development cost for first year in which will need to retain the cost from 50% from our estimated schools will buy our products in first year. So, 6000/3
= 2000 OMR
</t>
  </si>
  <si>
    <t>No fo Private Schools</t>
  </si>
  <si>
    <t>Our solution will be based on curriculum in geology and related earth science for most common lesson for elementary to secondary school.
Some school want to customize their own curriculum for specific grades, we estimated that only very few schools initially will go for this service ~2 for first year. But once we launch our products and many schools/students tries our products then more and more schools will avail this service.</t>
  </si>
  <si>
    <t>Education VR Customization Services</t>
  </si>
  <si>
    <t>Since we are presenting this solution inside the mining 4IR center; and visitors are expected to visit the center for all developed application and presented technology. So, we have estimated yearly number of visitors for the center and divided for now by 3 applications income.</t>
  </si>
  <si>
    <t>Total of 10 VR headset to be purchase for first Year and increase and replace for following years</t>
  </si>
  <si>
    <t>Since we estimated 20 number of major companies operating in mining in Oman and this report is mandatorey my the minstry, for first year we estimated 40% companies will avail our service, next year 45%</t>
  </si>
  <si>
    <t>We value our service as, if companies are mandated to conduct yearly environment report we value the services by our current drone inspection services. Where such services will cost 1500 OMR per report.</t>
  </si>
  <si>
    <t>Drone Customization Services</t>
  </si>
  <si>
    <t>For first year we will be focusing on drone application for environmental monitoring, but some companies may request different drone services for mineral exploration, etc. But this is will be very limited for first years till the technology prove it concept and many companies relies on the value of drone to enhance their operation.  For first year we estimated no request will company but for coming years will see increase in the requested of such service.</t>
  </si>
  <si>
    <t>We will purchase one Drone equipment’s for first year  and keep some budget for extra sensors for next years.</t>
  </si>
  <si>
    <t>TotalRevenue</t>
  </si>
  <si>
    <t>Stream 1
Training HSE</t>
  </si>
  <si>
    <t>Stream 2
Customization Services</t>
  </si>
  <si>
    <t>Stream 3
Visitors</t>
  </si>
  <si>
    <t xml:space="preserve">Stream 1 
VR Toolkit Fees
</t>
  </si>
  <si>
    <t>Stream 2
Customization</t>
  </si>
  <si>
    <t>Rent</t>
  </si>
  <si>
    <t>Total Equipment cost</t>
  </si>
  <si>
    <t>Total Revenue</t>
  </si>
  <si>
    <t>Total cost required</t>
  </si>
  <si>
    <t>Net Profit/Income</t>
  </si>
  <si>
    <t>Cashflow</t>
  </si>
  <si>
    <t>Subtraction from cashflow</t>
  </si>
  <si>
    <t>Purchase of equipment</t>
  </si>
  <si>
    <t>Stream 1</t>
  </si>
  <si>
    <t>Stream 2</t>
  </si>
  <si>
    <t>Stream 3</t>
  </si>
  <si>
    <t>Total of 1 drone set of equipment to be purchase for first Year and add equipment and replace for following years</t>
  </si>
  <si>
    <t>Development cost ~ 4,000 OMR first year and every following years to modify/add new functions</t>
  </si>
  <si>
    <t>Total cost requiredIncluding equipment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</si>
</sst>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 #,##0_-;_-* &quot;-&quot;??_-;_-@_-"/>
    <numFmt numFmtId="166" formatCode="#,##0\ \ ;\(#,##0\)\ "/>
    <numFmt numFmtId="167" formatCode="_-* #,##0.0_-;\-* #,##0.0_-;_-* &quot;-&quot;??_-;_-@_-"/>
    <numFmt numFmtId="168" formatCode="_(* #,##0_);_(* \(#,##0\);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rgb="FFFF0000"/>
      <name val="Calibri"/>
      <family val="2"/>
      <scheme val="minor"/>
    </font>
    <font>
      <i/>
      <sz val="10"/>
      <color theme="1"/>
      <name val="Calibri"/>
      <family val="2"/>
      <scheme val="minor"/>
    </font>
    <font>
      <b/>
      <sz val="12"/>
      <color rgb="FFFF0000"/>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b/>
      <u/>
      <sz val="12"/>
      <color theme="1"/>
      <name val="Calibri"/>
      <family val="2"/>
      <scheme val="minor"/>
    </font>
    <font>
      <sz val="10"/>
      <color rgb="FFFF0000"/>
      <name val="Calibri"/>
      <family val="2"/>
      <scheme val="minor"/>
    </font>
    <font>
      <sz val="12"/>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505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F9933"/>
        <bgColor indexed="64"/>
      </patternFill>
    </fill>
    <fill>
      <patternFill patternType="solid">
        <fgColor rgb="FFFF0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02">
    <xf numFmtId="0" fontId="0" fillId="0" borderId="0" xfId="0"/>
    <xf numFmtId="0" fontId="0" fillId="0" borderId="1" xfId="0" applyBorder="1"/>
    <xf numFmtId="165" fontId="4" fillId="0" borderId="1" xfId="1" applyNumberFormat="1" applyFont="1" applyBorder="1"/>
    <xf numFmtId="165" fontId="5" fillId="0" borderId="1" xfId="1" applyNumberFormat="1" applyFont="1" applyBorder="1"/>
    <xf numFmtId="0" fontId="2" fillId="0" borderId="1" xfId="0" applyFont="1" applyBorder="1"/>
    <xf numFmtId="165" fontId="5" fillId="0" borderId="1" xfId="0" applyNumberFormat="1" applyFont="1" applyBorder="1"/>
    <xf numFmtId="165" fontId="4" fillId="0" borderId="1" xfId="0" applyNumberFormat="1" applyFont="1" applyBorder="1"/>
    <xf numFmtId="167" fontId="6" fillId="0" borderId="1" xfId="1" applyNumberFormat="1" applyFont="1" applyBorder="1"/>
    <xf numFmtId="0" fontId="2" fillId="2" borderId="0" xfId="0" applyFont="1" applyFill="1"/>
    <xf numFmtId="49" fontId="7" fillId="0" borderId="1" xfId="0" applyNumberFormat="1" applyFont="1" applyBorder="1" applyAlignment="1">
      <alignment horizontal="right"/>
    </xf>
    <xf numFmtId="165" fontId="5" fillId="3" borderId="0" xfId="1" applyNumberFormat="1" applyFont="1" applyFill="1" applyBorder="1"/>
    <xf numFmtId="9" fontId="9" fillId="0" borderId="1" xfId="2" applyFont="1" applyBorder="1"/>
    <xf numFmtId="0" fontId="3" fillId="0" borderId="2"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0" fillId="0" borderId="5" xfId="0" applyBorder="1"/>
    <xf numFmtId="165" fontId="5" fillId="0" borderId="6" xfId="1" applyNumberFormat="1" applyFont="1" applyBorder="1"/>
    <xf numFmtId="0" fontId="6" fillId="0" borderId="5" xfId="0" applyFont="1" applyBorder="1" applyAlignment="1">
      <alignment horizontal="right"/>
    </xf>
    <xf numFmtId="167" fontId="6" fillId="0" borderId="6" xfId="1" applyNumberFormat="1" applyFont="1" applyBorder="1"/>
    <xf numFmtId="0" fontId="2" fillId="0" borderId="5" xfId="0" applyFont="1" applyBorder="1"/>
    <xf numFmtId="165" fontId="4" fillId="0" borderId="6" xfId="1" applyNumberFormat="1" applyFont="1" applyBorder="1"/>
    <xf numFmtId="0" fontId="4" fillId="0" borderId="5" xfId="0" applyFont="1" applyBorder="1" applyAlignment="1">
      <alignment horizontal="right"/>
    </xf>
    <xf numFmtId="0" fontId="0" fillId="3" borderId="7" xfId="0" applyFill="1" applyBorder="1"/>
    <xf numFmtId="165" fontId="5" fillId="3" borderId="8" xfId="1" applyNumberFormat="1" applyFont="1" applyFill="1" applyBorder="1"/>
    <xf numFmtId="165" fontId="4" fillId="0" borderId="6" xfId="0" applyNumberFormat="1" applyFont="1" applyBorder="1"/>
    <xf numFmtId="49" fontId="7" fillId="0" borderId="7" xfId="0" applyNumberFormat="1" applyFont="1" applyBorder="1" applyAlignment="1">
      <alignment horizontal="right"/>
    </xf>
    <xf numFmtId="165" fontId="5" fillId="0" borderId="6" xfId="0" applyNumberFormat="1" applyFont="1" applyBorder="1"/>
    <xf numFmtId="9" fontId="9" fillId="0" borderId="6" xfId="2" applyFont="1" applyBorder="1"/>
    <xf numFmtId="0" fontId="0" fillId="3" borderId="9" xfId="0" applyFill="1" applyBorder="1"/>
    <xf numFmtId="165" fontId="5" fillId="3" borderId="10" xfId="1" applyNumberFormat="1" applyFont="1" applyFill="1" applyBorder="1"/>
    <xf numFmtId="165" fontId="5" fillId="3" borderId="11" xfId="1" applyNumberFormat="1" applyFont="1" applyFill="1" applyBorder="1"/>
    <xf numFmtId="9" fontId="5" fillId="0" borderId="1" xfId="2" applyFont="1" applyBorder="1"/>
    <xf numFmtId="9" fontId="5" fillId="0" borderId="6" xfId="2" applyFont="1" applyBorder="1"/>
    <xf numFmtId="9" fontId="5" fillId="0" borderId="1" xfId="2" applyFont="1" applyBorder="1" applyAlignment="1">
      <alignment horizontal="center"/>
    </xf>
    <xf numFmtId="9" fontId="5" fillId="0" borderId="6" xfId="2" applyFont="1" applyBorder="1" applyAlignment="1">
      <alignment horizontal="center"/>
    </xf>
    <xf numFmtId="165" fontId="10" fillId="0" borderId="1" xfId="0" applyNumberFormat="1" applyFont="1" applyBorder="1" applyAlignment="1">
      <alignment horizontal="center"/>
    </xf>
    <xf numFmtId="165" fontId="11" fillId="0" borderId="1" xfId="0" applyNumberFormat="1" applyFont="1" applyBorder="1" applyAlignment="1">
      <alignment horizontal="center"/>
    </xf>
    <xf numFmtId="165" fontId="11" fillId="0" borderId="6" xfId="0" applyNumberFormat="1" applyFont="1" applyBorder="1" applyAlignment="1">
      <alignment horizontal="center"/>
    </xf>
    <xf numFmtId="165" fontId="11" fillId="0" borderId="1" xfId="1" applyNumberFormat="1" applyFont="1" applyBorder="1"/>
    <xf numFmtId="165" fontId="11" fillId="0" borderId="6" xfId="1" applyNumberFormat="1" applyFont="1" applyBorder="1"/>
    <xf numFmtId="0" fontId="4" fillId="0" borderId="5" xfId="0" applyFont="1" applyBorder="1"/>
    <xf numFmtId="0" fontId="5" fillId="0" borderId="5" xfId="0" applyFont="1" applyBorder="1"/>
    <xf numFmtId="166" fontId="4" fillId="0" borderId="5" xfId="0" applyNumberFormat="1" applyFont="1" applyBorder="1"/>
    <xf numFmtId="0" fontId="9" fillId="0" borderId="5" xfId="0" applyFont="1" applyBorder="1"/>
    <xf numFmtId="164" fontId="11" fillId="0" borderId="0" xfId="1" applyFont="1" applyFill="1" applyBorder="1"/>
    <xf numFmtId="0" fontId="12" fillId="0" borderId="13" xfId="0" applyFont="1" applyBorder="1"/>
    <xf numFmtId="0" fontId="0" fillId="4" borderId="14" xfId="0" applyFill="1" applyBorder="1"/>
    <xf numFmtId="0" fontId="13" fillId="5" borderId="7" xfId="0" applyFont="1" applyFill="1" applyBorder="1"/>
    <xf numFmtId="0" fontId="13" fillId="5" borderId="14" xfId="0" applyFont="1" applyFill="1" applyBorder="1"/>
    <xf numFmtId="0" fontId="0" fillId="4" borderId="14" xfId="0" applyFill="1" applyBorder="1" applyAlignment="1">
      <alignment horizontal="right"/>
    </xf>
    <xf numFmtId="0" fontId="0" fillId="6" borderId="14" xfId="0" applyFill="1" applyBorder="1"/>
    <xf numFmtId="0" fontId="14" fillId="0" borderId="15" xfId="0" applyFont="1" applyBorder="1"/>
    <xf numFmtId="0" fontId="0" fillId="4" borderId="15" xfId="0" applyFill="1" applyBorder="1" applyAlignment="1">
      <alignment horizontal="right"/>
    </xf>
    <xf numFmtId="0" fontId="12" fillId="2" borderId="16" xfId="0" applyFont="1" applyFill="1" applyBorder="1"/>
    <xf numFmtId="0" fontId="12" fillId="2" borderId="17" xfId="0" applyFont="1" applyFill="1" applyBorder="1"/>
    <xf numFmtId="0" fontId="5" fillId="2" borderId="5" xfId="0" applyFont="1" applyFill="1" applyBorder="1" applyAlignment="1">
      <alignment horizontal="left"/>
    </xf>
    <xf numFmtId="0" fontId="2" fillId="0" borderId="18" xfId="0" applyFont="1" applyBorder="1" applyAlignment="1">
      <alignment horizontal="center"/>
    </xf>
    <xf numFmtId="165" fontId="4" fillId="0" borderId="19" xfId="1" applyNumberFormat="1" applyFont="1" applyBorder="1"/>
    <xf numFmtId="165" fontId="5" fillId="0" borderId="19" xfId="1" applyNumberFormat="1" applyFont="1" applyBorder="1"/>
    <xf numFmtId="165" fontId="0" fillId="0" borderId="19" xfId="1" applyNumberFormat="1" applyFont="1" applyBorder="1"/>
    <xf numFmtId="165" fontId="5" fillId="0" borderId="19" xfId="0" applyNumberFormat="1" applyFont="1" applyBorder="1"/>
    <xf numFmtId="0" fontId="5" fillId="0" borderId="19" xfId="0" applyFont="1" applyBorder="1"/>
    <xf numFmtId="165" fontId="9" fillId="0" borderId="19" xfId="1" applyNumberFormat="1" applyFont="1" applyBorder="1"/>
    <xf numFmtId="0" fontId="2" fillId="0" borderId="19" xfId="0" applyFont="1" applyBorder="1" applyAlignment="1">
      <alignment horizontal="center"/>
    </xf>
    <xf numFmtId="0" fontId="2" fillId="0" borderId="20" xfId="0" applyFont="1" applyBorder="1" applyAlignment="1">
      <alignment horizontal="center"/>
    </xf>
    <xf numFmtId="165" fontId="5" fillId="0" borderId="21" xfId="1" applyNumberFormat="1" applyFont="1" applyBorder="1"/>
    <xf numFmtId="167" fontId="6" fillId="0" borderId="21" xfId="1" applyNumberFormat="1" applyFont="1" applyBorder="1"/>
    <xf numFmtId="165" fontId="11" fillId="0" borderId="21" xfId="1" applyNumberFormat="1" applyFont="1" applyBorder="1"/>
    <xf numFmtId="165" fontId="4" fillId="0" borderId="21" xfId="1" applyNumberFormat="1" applyFont="1" applyBorder="1"/>
    <xf numFmtId="9" fontId="5" fillId="0" borderId="21" xfId="2" applyFont="1" applyBorder="1"/>
    <xf numFmtId="165" fontId="4" fillId="0" borderId="21" xfId="0" applyNumberFormat="1" applyFont="1" applyBorder="1"/>
    <xf numFmtId="9" fontId="5" fillId="0" borderId="21" xfId="2" applyFont="1" applyBorder="1" applyAlignment="1">
      <alignment horizontal="center"/>
    </xf>
    <xf numFmtId="165" fontId="5" fillId="0" borderId="21" xfId="0" applyNumberFormat="1" applyFont="1" applyBorder="1"/>
    <xf numFmtId="9" fontId="9" fillId="0" borderId="21" xfId="2" applyFont="1" applyBorder="1"/>
    <xf numFmtId="165" fontId="11" fillId="0" borderId="21" xfId="0" applyNumberFormat="1" applyFont="1" applyBorder="1" applyAlignment="1">
      <alignment horizontal="center"/>
    </xf>
    <xf numFmtId="0" fontId="2" fillId="0" borderId="2" xfId="0" applyFont="1" applyBorder="1" applyAlignment="1">
      <alignment horizontal="center"/>
    </xf>
    <xf numFmtId="165" fontId="5" fillId="0" borderId="5" xfId="1" applyNumberFormat="1" applyFont="1" applyBorder="1"/>
    <xf numFmtId="167" fontId="6" fillId="0" borderId="5" xfId="1" applyNumberFormat="1" applyFont="1" applyBorder="1"/>
    <xf numFmtId="165" fontId="11" fillId="0" borderId="5" xfId="1" applyNumberFormat="1" applyFont="1" applyBorder="1"/>
    <xf numFmtId="165" fontId="5" fillId="3" borderId="7" xfId="1" applyNumberFormat="1" applyFont="1" applyFill="1" applyBorder="1"/>
    <xf numFmtId="165" fontId="4" fillId="0" borderId="5" xfId="1" applyNumberFormat="1" applyFont="1" applyBorder="1"/>
    <xf numFmtId="9" fontId="5" fillId="0" borderId="5" xfId="2" applyFont="1" applyBorder="1"/>
    <xf numFmtId="165" fontId="4" fillId="0" borderId="5" xfId="0" applyNumberFormat="1" applyFont="1" applyBorder="1"/>
    <xf numFmtId="9" fontId="5" fillId="0" borderId="5" xfId="2" applyFont="1" applyBorder="1" applyAlignment="1">
      <alignment horizontal="center"/>
    </xf>
    <xf numFmtId="165" fontId="5" fillId="0" borderId="5" xfId="0" applyNumberFormat="1" applyFont="1" applyBorder="1"/>
    <xf numFmtId="9" fontId="9" fillId="0" borderId="5" xfId="2" applyFont="1" applyBorder="1"/>
    <xf numFmtId="165" fontId="10" fillId="0" borderId="5" xfId="0" applyNumberFormat="1" applyFont="1" applyBorder="1" applyAlignment="1">
      <alignment horizontal="center"/>
    </xf>
    <xf numFmtId="165" fontId="5" fillId="3" borderId="9" xfId="1" applyNumberFormat="1" applyFont="1" applyFill="1" applyBorder="1"/>
    <xf numFmtId="0" fontId="0" fillId="7" borderId="5" xfId="0" applyFill="1" applyBorder="1"/>
    <xf numFmtId="165" fontId="5" fillId="7" borderId="5" xfId="1" applyNumberFormat="1" applyFont="1" applyFill="1" applyBorder="1"/>
    <xf numFmtId="165" fontId="5" fillId="7" borderId="1" xfId="1" applyNumberFormat="1" applyFont="1" applyFill="1" applyBorder="1"/>
    <xf numFmtId="165" fontId="5" fillId="7" borderId="6" xfId="1" applyNumberFormat="1" applyFont="1" applyFill="1" applyBorder="1"/>
    <xf numFmtId="0" fontId="6" fillId="7" borderId="5" xfId="0" applyFont="1" applyFill="1" applyBorder="1" applyAlignment="1">
      <alignment horizontal="right"/>
    </xf>
    <xf numFmtId="167" fontId="6" fillId="7" borderId="5" xfId="1" applyNumberFormat="1" applyFont="1" applyFill="1" applyBorder="1"/>
    <xf numFmtId="167" fontId="6" fillId="7" borderId="1" xfId="1" applyNumberFormat="1" applyFont="1" applyFill="1" applyBorder="1"/>
    <xf numFmtId="167" fontId="6" fillId="7" borderId="6" xfId="1" applyNumberFormat="1" applyFont="1" applyFill="1" applyBorder="1"/>
    <xf numFmtId="0" fontId="2" fillId="0" borderId="0" xfId="0" applyFont="1" applyAlignment="1">
      <alignment horizontal="center"/>
    </xf>
    <xf numFmtId="0" fontId="0" fillId="2" borderId="1" xfId="0" applyFill="1" applyBorder="1"/>
    <xf numFmtId="165" fontId="11" fillId="4" borderId="5" xfId="1" applyNumberFormat="1" applyFont="1" applyFill="1" applyBorder="1"/>
    <xf numFmtId="165" fontId="11" fillId="4" borderId="1" xfId="1" applyNumberFormat="1" applyFont="1" applyFill="1" applyBorder="1"/>
    <xf numFmtId="165" fontId="11" fillId="4" borderId="6" xfId="1" applyNumberFormat="1" applyFont="1" applyFill="1" applyBorder="1"/>
    <xf numFmtId="0" fontId="2" fillId="0" borderId="22" xfId="0" applyFont="1" applyBorder="1" applyAlignment="1">
      <alignment horizontal="center"/>
    </xf>
    <xf numFmtId="0" fontId="2" fillId="0" borderId="23" xfId="0" applyFont="1" applyBorder="1" applyAlignment="1">
      <alignment horizontal="center"/>
    </xf>
    <xf numFmtId="0" fontId="2" fillId="0" borderId="24" xfId="0" applyFont="1" applyBorder="1" applyAlignment="1">
      <alignment horizontal="center"/>
    </xf>
    <xf numFmtId="0" fontId="0" fillId="7" borderId="1" xfId="0" applyFill="1" applyBorder="1"/>
    <xf numFmtId="168" fontId="0" fillId="0" borderId="1" xfId="1" applyNumberFormat="1" applyFont="1" applyBorder="1"/>
    <xf numFmtId="0" fontId="5" fillId="2" borderId="1" xfId="0" applyFont="1" applyFill="1" applyBorder="1" applyAlignment="1">
      <alignment wrapText="1"/>
    </xf>
    <xf numFmtId="0" fontId="15" fillId="2" borderId="1" xfId="0" applyFont="1" applyFill="1" applyBorder="1" applyAlignment="1">
      <alignment wrapText="1"/>
    </xf>
    <xf numFmtId="0" fontId="5" fillId="2" borderId="1" xfId="0" applyFont="1" applyFill="1" applyBorder="1"/>
    <xf numFmtId="0" fontId="5" fillId="0" borderId="0" xfId="0" applyFont="1"/>
    <xf numFmtId="165" fontId="11" fillId="8" borderId="5" xfId="1" applyNumberFormat="1" applyFont="1" applyFill="1" applyBorder="1"/>
    <xf numFmtId="165" fontId="11" fillId="8" borderId="1" xfId="1" applyNumberFormat="1" applyFont="1" applyFill="1" applyBorder="1"/>
    <xf numFmtId="165" fontId="11" fillId="8" borderId="6" xfId="1" applyNumberFormat="1" applyFont="1" applyFill="1" applyBorder="1"/>
    <xf numFmtId="0" fontId="0" fillId="7" borderId="0" xfId="0" applyFill="1"/>
    <xf numFmtId="0" fontId="0" fillId="2" borderId="1" xfId="0" applyFill="1" applyBorder="1" applyAlignment="1">
      <alignment wrapText="1"/>
    </xf>
    <xf numFmtId="0" fontId="5" fillId="2" borderId="1" xfId="0" applyFont="1" applyFill="1" applyBorder="1" applyAlignment="1">
      <alignment vertical="center" wrapText="1"/>
    </xf>
    <xf numFmtId="168" fontId="13" fillId="5" borderId="14" xfId="1" applyNumberFormat="1" applyFont="1" applyFill="1" applyBorder="1"/>
    <xf numFmtId="0" fontId="11" fillId="0" borderId="9" xfId="0" applyFont="1" applyBorder="1"/>
    <xf numFmtId="0" fontId="11" fillId="0" borderId="12" xfId="0" applyFont="1" applyBorder="1"/>
    <xf numFmtId="0" fontId="11" fillId="0" borderId="13" xfId="0" applyFont="1" applyBorder="1"/>
    <xf numFmtId="168" fontId="11" fillId="0" borderId="15" xfId="1" applyNumberFormat="1" applyFont="1" applyBorder="1"/>
    <xf numFmtId="168" fontId="11" fillId="0" borderId="13" xfId="1" applyNumberFormat="1" applyFont="1" applyBorder="1"/>
    <xf numFmtId="168" fontId="12" fillId="2" borderId="17" xfId="1" applyNumberFormat="1" applyFont="1" applyFill="1" applyBorder="1"/>
    <xf numFmtId="168" fontId="0" fillId="3" borderId="14" xfId="1" applyNumberFormat="1" applyFont="1" applyFill="1" applyBorder="1"/>
    <xf numFmtId="0" fontId="0" fillId="3" borderId="7" xfId="0" applyFill="1" applyBorder="1" applyAlignment="1">
      <alignment horizontal="right"/>
    </xf>
    <xf numFmtId="168" fontId="0" fillId="3" borderId="14" xfId="1" applyNumberFormat="1" applyFont="1" applyFill="1" applyBorder="1" applyAlignment="1">
      <alignment horizontal="right"/>
    </xf>
    <xf numFmtId="0" fontId="0" fillId="3" borderId="9" xfId="0" applyFill="1" applyBorder="1" applyAlignment="1">
      <alignment horizontal="right"/>
    </xf>
    <xf numFmtId="168" fontId="0" fillId="3" borderId="15" xfId="1" applyNumberFormat="1" applyFont="1" applyFill="1" applyBorder="1" applyAlignment="1">
      <alignment horizontal="right"/>
    </xf>
    <xf numFmtId="0" fontId="0" fillId="9" borderId="7" xfId="0" applyFill="1" applyBorder="1"/>
    <xf numFmtId="168" fontId="0" fillId="9" borderId="14" xfId="1" applyNumberFormat="1" applyFont="1" applyFill="1" applyBorder="1"/>
    <xf numFmtId="168" fontId="12" fillId="10" borderId="17" xfId="1" applyNumberFormat="1" applyFont="1" applyFill="1" applyBorder="1"/>
    <xf numFmtId="165" fontId="0" fillId="0" borderId="0" xfId="0" applyNumberFormat="1"/>
    <xf numFmtId="0" fontId="0" fillId="0" borderId="12" xfId="0" applyBorder="1"/>
    <xf numFmtId="168" fontId="0" fillId="0" borderId="30" xfId="1" applyNumberFormat="1" applyFont="1" applyBorder="1"/>
    <xf numFmtId="168" fontId="0" fillId="0" borderId="31" xfId="1" applyNumberFormat="1" applyFont="1" applyBorder="1"/>
    <xf numFmtId="0" fontId="0" fillId="0" borderId="7" xfId="0" applyBorder="1"/>
    <xf numFmtId="168" fontId="0" fillId="0" borderId="0" xfId="1" applyNumberFormat="1" applyFont="1" applyBorder="1"/>
    <xf numFmtId="168" fontId="0" fillId="0" borderId="8" xfId="1" applyNumberFormat="1" applyFont="1" applyBorder="1"/>
    <xf numFmtId="0" fontId="0" fillId="0" borderId="9" xfId="0" applyBorder="1"/>
    <xf numFmtId="168" fontId="0" fillId="10" borderId="10" xfId="0" applyNumberFormat="1" applyFill="1" applyBorder="1"/>
    <xf numFmtId="168" fontId="0" fillId="0" borderId="10" xfId="0" applyNumberFormat="1" applyBorder="1"/>
    <xf numFmtId="168" fontId="0" fillId="0" borderId="11" xfId="0" applyNumberFormat="1" applyBorder="1"/>
    <xf numFmtId="0" fontId="0" fillId="0" borderId="30" xfId="0" applyBorder="1"/>
    <xf numFmtId="0" fontId="0" fillId="0" borderId="10" xfId="0" applyBorder="1"/>
    <xf numFmtId="165" fontId="16" fillId="2" borderId="12" xfId="0" applyNumberFormat="1" applyFont="1" applyFill="1" applyBorder="1"/>
    <xf numFmtId="165" fontId="16" fillId="2" borderId="30" xfId="0" applyNumberFormat="1" applyFont="1" applyFill="1" applyBorder="1"/>
    <xf numFmtId="165" fontId="16" fillId="2" borderId="31" xfId="0" applyNumberFormat="1" applyFont="1" applyFill="1" applyBorder="1"/>
    <xf numFmtId="165" fontId="16" fillId="2" borderId="9" xfId="0" applyNumberFormat="1" applyFont="1" applyFill="1" applyBorder="1"/>
    <xf numFmtId="165" fontId="16" fillId="2" borderId="10" xfId="0" applyNumberFormat="1" applyFont="1" applyFill="1" applyBorder="1"/>
    <xf numFmtId="165" fontId="16" fillId="2" borderId="11" xfId="0" applyNumberFormat="1" applyFont="1" applyFill="1" applyBorder="1"/>
    <xf numFmtId="165" fontId="5" fillId="3" borderId="14" xfId="1" applyNumberFormat="1" applyFont="1" applyFill="1" applyBorder="1"/>
    <xf numFmtId="0" fontId="0" fillId="3" borderId="14" xfId="0" applyFill="1" applyBorder="1"/>
    <xf numFmtId="0" fontId="0" fillId="3" borderId="14" xfId="0" applyFill="1" applyBorder="1" applyAlignment="1">
      <alignment horizontal="right"/>
    </xf>
    <xf numFmtId="0" fontId="11" fillId="0" borderId="15" xfId="0" applyFont="1" applyBorder="1"/>
    <xf numFmtId="0" fontId="0" fillId="9" borderId="14" xfId="0" applyFill="1" applyBorder="1"/>
    <xf numFmtId="0" fontId="0" fillId="0" borderId="13" xfId="0" applyBorder="1"/>
    <xf numFmtId="0" fontId="0" fillId="0" borderId="14" xfId="0" applyBorder="1"/>
    <xf numFmtId="0" fontId="0" fillId="0" borderId="15" xfId="0" applyBorder="1"/>
    <xf numFmtId="0" fontId="11" fillId="0" borderId="1" xfId="0" applyFont="1" applyBorder="1"/>
    <xf numFmtId="168" fontId="0" fillId="3" borderId="1" xfId="1" applyNumberFormat="1" applyFont="1" applyFill="1" applyBorder="1"/>
    <xf numFmtId="168" fontId="13" fillId="5" borderId="1" xfId="1" applyNumberFormat="1" applyFont="1" applyFill="1" applyBorder="1"/>
    <xf numFmtId="168" fontId="0" fillId="3" borderId="1" xfId="1" applyNumberFormat="1" applyFont="1" applyFill="1" applyBorder="1" applyAlignment="1">
      <alignment horizontal="right"/>
    </xf>
    <xf numFmtId="168" fontId="11" fillId="0" borderId="1" xfId="1" applyNumberFormat="1" applyFont="1" applyBorder="1"/>
    <xf numFmtId="168" fontId="0" fillId="9" borderId="1" xfId="1" applyNumberFormat="1" applyFont="1" applyFill="1" applyBorder="1"/>
    <xf numFmtId="0" fontId="11" fillId="0" borderId="5" xfId="0" applyFont="1" applyBorder="1"/>
    <xf numFmtId="0" fontId="11" fillId="0" borderId="6" xfId="0" applyFont="1" applyBorder="1"/>
    <xf numFmtId="168" fontId="0" fillId="3" borderId="5" xfId="1" applyNumberFormat="1" applyFont="1" applyFill="1" applyBorder="1"/>
    <xf numFmtId="168" fontId="0" fillId="3" borderId="6" xfId="1" applyNumberFormat="1" applyFont="1" applyFill="1" applyBorder="1"/>
    <xf numFmtId="168" fontId="13" fillId="5" borderId="5" xfId="1" applyNumberFormat="1" applyFont="1" applyFill="1" applyBorder="1"/>
    <xf numFmtId="168" fontId="13" fillId="5" borderId="6" xfId="1" applyNumberFormat="1" applyFont="1" applyFill="1" applyBorder="1"/>
    <xf numFmtId="168" fontId="0" fillId="3" borderId="5" xfId="1" applyNumberFormat="1" applyFont="1" applyFill="1" applyBorder="1" applyAlignment="1">
      <alignment horizontal="right"/>
    </xf>
    <xf numFmtId="168" fontId="0" fillId="3" borderId="6" xfId="1" applyNumberFormat="1" applyFont="1" applyFill="1" applyBorder="1" applyAlignment="1">
      <alignment horizontal="right"/>
    </xf>
    <xf numFmtId="168" fontId="11" fillId="0" borderId="5" xfId="1" applyNumberFormat="1" applyFont="1" applyBorder="1"/>
    <xf numFmtId="168" fontId="11" fillId="0" borderId="6" xfId="1" applyNumberFormat="1" applyFont="1" applyBorder="1"/>
    <xf numFmtId="168" fontId="0" fillId="9" borderId="5" xfId="1" applyNumberFormat="1" applyFont="1" applyFill="1" applyBorder="1"/>
    <xf numFmtId="168" fontId="0" fillId="9" borderId="6" xfId="1" applyNumberFormat="1" applyFont="1" applyFill="1" applyBorder="1"/>
    <xf numFmtId="0" fontId="0" fillId="5" borderId="0" xfId="0" applyFill="1"/>
    <xf numFmtId="168" fontId="0" fillId="0" borderId="0" xfId="0" applyNumberFormat="1"/>
    <xf numFmtId="168" fontId="16" fillId="2" borderId="30" xfId="1" applyNumberFormat="1" applyFont="1" applyFill="1" applyBorder="1"/>
    <xf numFmtId="168" fontId="16" fillId="2" borderId="31" xfId="1" applyNumberFormat="1" applyFont="1" applyFill="1" applyBorder="1"/>
    <xf numFmtId="168" fontId="0" fillId="10" borderId="10" xfId="1" applyNumberFormat="1" applyFont="1" applyFill="1" applyBorder="1"/>
    <xf numFmtId="168" fontId="0" fillId="0" borderId="10" xfId="1" applyNumberFormat="1" applyFont="1" applyBorder="1"/>
    <xf numFmtId="168" fontId="0" fillId="0" borderId="11" xfId="1" applyNumberFormat="1" applyFont="1" applyBorder="1"/>
    <xf numFmtId="165" fontId="4" fillId="7" borderId="25" xfId="1" applyNumberFormat="1" applyFont="1" applyFill="1" applyBorder="1" applyAlignment="1">
      <alignment horizontal="center" vertical="center" wrapText="1"/>
    </xf>
    <xf numFmtId="165" fontId="4" fillId="7" borderId="26" xfId="1" applyNumberFormat="1" applyFont="1" applyFill="1" applyBorder="1" applyAlignment="1">
      <alignment horizontal="center" vertical="center"/>
    </xf>
    <xf numFmtId="0" fontId="0" fillId="7" borderId="35" xfId="0" applyFill="1" applyBorder="1" applyAlignment="1">
      <alignment horizontal="center"/>
    </xf>
    <xf numFmtId="0" fontId="0" fillId="7" borderId="36" xfId="0" applyFill="1" applyBorder="1" applyAlignment="1">
      <alignment horizontal="center"/>
    </xf>
    <xf numFmtId="0" fontId="0" fillId="2" borderId="28" xfId="0" applyFill="1" applyBorder="1" applyAlignment="1">
      <alignment horizontal="center" wrapText="1"/>
    </xf>
    <xf numFmtId="0" fontId="0" fillId="2" borderId="32" xfId="0" applyFill="1" applyBorder="1" applyAlignment="1">
      <alignment horizontal="center" wrapText="1"/>
    </xf>
    <xf numFmtId="0" fontId="0" fillId="2" borderId="33" xfId="0" applyFill="1" applyBorder="1" applyAlignment="1">
      <alignment horizontal="center" wrapText="1"/>
    </xf>
    <xf numFmtId="0" fontId="0" fillId="2" borderId="34" xfId="0" applyFill="1" applyBorder="1" applyAlignment="1">
      <alignment horizontal="center" wrapText="1"/>
    </xf>
    <xf numFmtId="0" fontId="0" fillId="2" borderId="1" xfId="0" applyFill="1" applyBorder="1" applyAlignment="1">
      <alignment horizontal="center" wrapText="1"/>
    </xf>
    <xf numFmtId="0" fontId="0" fillId="2" borderId="1" xfId="0" applyFill="1" applyBorder="1" applyAlignment="1">
      <alignment horizontal="center"/>
    </xf>
    <xf numFmtId="0" fontId="0" fillId="2" borderId="27" xfId="0" applyFill="1" applyBorder="1" applyAlignment="1">
      <alignment horizontal="center" wrapText="1"/>
    </xf>
    <xf numFmtId="0" fontId="0" fillId="2" borderId="27" xfId="0" applyFill="1" applyBorder="1" applyAlignment="1">
      <alignment horizontal="center"/>
    </xf>
    <xf numFmtId="0" fontId="0" fillId="2" borderId="0" xfId="0" applyFill="1" applyAlignment="1">
      <alignment horizontal="center"/>
    </xf>
    <xf numFmtId="165" fontId="4" fillId="7" borderId="25" xfId="1" applyNumberFormat="1" applyFont="1" applyFill="1" applyBorder="1" applyAlignment="1">
      <alignment horizontal="center" wrapText="1"/>
    </xf>
    <xf numFmtId="165" fontId="4" fillId="7" borderId="26" xfId="1" applyNumberFormat="1" applyFont="1" applyFill="1" applyBorder="1" applyAlignment="1">
      <alignment horizontal="center"/>
    </xf>
    <xf numFmtId="0" fontId="0" fillId="7" borderId="1" xfId="0" applyFill="1" applyBorder="1" applyAlignment="1">
      <alignment horizontal="center"/>
    </xf>
    <xf numFmtId="0" fontId="0" fillId="2" borderId="28" xfId="0" applyFill="1" applyBorder="1" applyAlignment="1">
      <alignment horizontal="center"/>
    </xf>
    <xf numFmtId="0" fontId="0" fillId="2" borderId="29" xfId="0" applyFill="1" applyBorder="1" applyAlignment="1">
      <alignment horizontal="center"/>
    </xf>
    <xf numFmtId="165" fontId="5" fillId="7" borderId="1" xfId="1" applyNumberFormat="1" applyFont="1" applyFill="1" applyBorder="1" applyAlignment="1">
      <alignment horizontal="right"/>
    </xf>
  </cellXfs>
  <cellStyles count="3">
    <cellStyle name="Comma" xfId="1" builtinId="3"/>
    <cellStyle name="Normal" xfId="0" builtinId="0"/>
    <cellStyle name="Percent" xfId="2" builtinId="5"/>
  </cellStyles>
  <dxfs count="8">
    <dxf>
      <font>
        <b/>
        <i val="0"/>
        <color rgb="FFFF0000"/>
      </font>
    </dxf>
    <dxf>
      <font>
        <b/>
        <i val="0"/>
        <color theme="1"/>
      </font>
    </dxf>
    <dxf>
      <font>
        <b/>
        <i val="0"/>
        <color rgb="FFFF0000"/>
      </font>
    </dxf>
    <dxf>
      <font>
        <b/>
        <i val="0"/>
        <color theme="1"/>
      </font>
    </dxf>
    <dxf>
      <font>
        <b/>
        <i val="0"/>
        <color rgb="FFFF0000"/>
      </font>
    </dxf>
    <dxf>
      <font>
        <b/>
        <i val="0"/>
        <color theme="1"/>
      </font>
    </dxf>
    <dxf>
      <font>
        <b/>
        <i val="0"/>
        <color rgb="FFFF0000"/>
      </font>
    </dxf>
    <dxf>
      <font>
        <b/>
        <i val="0"/>
        <color theme="1"/>
      </font>
    </dxf>
  </dxfs>
  <tableStyles count="0" defaultTableStyle="TableStyleMedium2" defaultPivotStyle="PivotStyleLight16"/>
  <colors>
    <mruColors>
      <color rgb="FFFF9933"/>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6</xdr:row>
      <xdr:rowOff>0</xdr:rowOff>
    </xdr:from>
    <xdr:to>
      <xdr:col>30</xdr:col>
      <xdr:colOff>159103</xdr:colOff>
      <xdr:row>12</xdr:row>
      <xdr:rowOff>57211</xdr:rowOff>
    </xdr:to>
    <xdr:pic>
      <xdr:nvPicPr>
        <xdr:cNvPr id="2" name="Picture 1">
          <a:extLst>
            <a:ext uri="{FF2B5EF4-FFF2-40B4-BE49-F238E27FC236}">
              <a16:creationId xmlns:a16="http://schemas.microsoft.com/office/drawing/2014/main" id="{54618484-D007-54E3-FE98-EF5CB32F9946}"/>
            </a:ext>
          </a:extLst>
        </xdr:cNvPr>
        <xdr:cNvPicPr>
          <a:picLocks noChangeAspect="1"/>
        </xdr:cNvPicPr>
      </xdr:nvPicPr>
      <xdr:blipFill>
        <a:blip xmlns:r="http://schemas.openxmlformats.org/officeDocument/2006/relationships" r:embed="rId1"/>
        <a:stretch>
          <a:fillRect/>
        </a:stretch>
      </xdr:blipFill>
      <xdr:spPr>
        <a:xfrm>
          <a:off x="8070850" y="939800"/>
          <a:ext cx="6864703" cy="118116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290B9-9EDC-433D-90AA-C10B231DF87C}">
  <sheetPr>
    <tabColor rgb="FFFFFF00"/>
  </sheetPr>
  <dimension ref="B1:U85"/>
  <sheetViews>
    <sheetView zoomScaleNormal="100" workbookViewId="0">
      <selection activeCell="B63" sqref="B63"/>
    </sheetView>
  </sheetViews>
  <sheetFormatPr defaultRowHeight="14.5" outlineLevelRow="1" x14ac:dyDescent="0.35"/>
  <cols>
    <col min="1" max="1" width="1" customWidth="1"/>
    <col min="2" max="2" width="53.453125" customWidth="1"/>
    <col min="3" max="3" width="10.1796875" bestFit="1" customWidth="1"/>
    <col min="4" max="4" width="12.81640625" bestFit="1" customWidth="1"/>
    <col min="5" max="6" width="10.81640625" bestFit="1" customWidth="1"/>
    <col min="7" max="8" width="11" bestFit="1" customWidth="1"/>
    <col min="9" max="17" width="10.81640625" hidden="1" customWidth="1"/>
    <col min="19" max="19" width="20.26953125" bestFit="1" customWidth="1"/>
    <col min="20" max="20" width="19.1796875" bestFit="1" customWidth="1"/>
    <col min="21" max="21" width="124.1796875" customWidth="1"/>
  </cols>
  <sheetData>
    <row r="1" spans="2:21" ht="6" customHeight="1" thickBot="1" x14ac:dyDescent="0.4"/>
    <row r="2" spans="2:21" x14ac:dyDescent="0.35">
      <c r="B2" s="12" t="s">
        <v>0</v>
      </c>
      <c r="C2" s="56"/>
      <c r="D2" s="75" t="s">
        <v>1</v>
      </c>
      <c r="E2" s="13" t="s">
        <v>2</v>
      </c>
      <c r="F2" s="13" t="s">
        <v>3</v>
      </c>
      <c r="G2" s="13" t="s">
        <v>4</v>
      </c>
      <c r="H2" s="14" t="s">
        <v>5</v>
      </c>
      <c r="I2" s="64" t="s">
        <v>6</v>
      </c>
      <c r="J2" s="13" t="s">
        <v>7</v>
      </c>
      <c r="K2" s="13" t="s">
        <v>8</v>
      </c>
      <c r="L2" s="13" t="s">
        <v>9</v>
      </c>
      <c r="M2" s="13" t="s">
        <v>10</v>
      </c>
      <c r="N2" s="13" t="s">
        <v>47</v>
      </c>
      <c r="O2" s="13" t="s">
        <v>48</v>
      </c>
      <c r="P2" s="13" t="s">
        <v>49</v>
      </c>
      <c r="Q2" s="14" t="s">
        <v>50</v>
      </c>
    </row>
    <row r="3" spans="2:21" ht="15" hidden="1" customHeight="1" x14ac:dyDescent="0.35">
      <c r="B3" s="15" t="s">
        <v>79</v>
      </c>
      <c r="C3" s="183" t="s">
        <v>138</v>
      </c>
      <c r="D3" s="76"/>
      <c r="E3" s="3"/>
      <c r="F3" s="3"/>
      <c r="G3" s="3"/>
      <c r="H3" s="16"/>
      <c r="I3" s="65" t="e">
        <f>SUM('Income Statement UAV'!I3,#REF!,#REF!)</f>
        <v>#REF!</v>
      </c>
      <c r="J3" s="3" t="e">
        <f>SUM('Income Statement UAV'!J3,#REF!,#REF!)</f>
        <v>#REF!</v>
      </c>
      <c r="K3" s="3" t="e">
        <f>SUM('Income Statement UAV'!K3,#REF!,#REF!)</f>
        <v>#REF!</v>
      </c>
      <c r="L3" s="3" t="e">
        <f>SUM('Income Statement UAV'!L3,#REF!,#REF!)</f>
        <v>#REF!</v>
      </c>
      <c r="M3" s="3" t="e">
        <f>SUM('Income Statement UAV'!M3,#REF!,#REF!)</f>
        <v>#REF!</v>
      </c>
      <c r="N3" s="3" t="e">
        <f>SUM('Income Statement UAV'!N3,#REF!,#REF!)</f>
        <v>#REF!</v>
      </c>
      <c r="O3" s="3" t="e">
        <f>SUM('Income Statement UAV'!O3,#REF!,#REF!)</f>
        <v>#REF!</v>
      </c>
      <c r="P3" s="3" t="e">
        <f>SUM('Income Statement UAV'!P3,#REF!,#REF!)</f>
        <v>#REF!</v>
      </c>
      <c r="Q3" s="16" t="e">
        <f>SUM('Income Statement UAV'!Q3,#REF!,#REF!)</f>
        <v>#REF!</v>
      </c>
    </row>
    <row r="4" spans="2:21" ht="76.5" hidden="1" customHeight="1" x14ac:dyDescent="0.35">
      <c r="B4" s="92" t="s">
        <v>80</v>
      </c>
      <c r="C4" s="184"/>
      <c r="D4" s="93"/>
      <c r="E4" s="94"/>
      <c r="F4" s="94"/>
      <c r="G4" s="94"/>
      <c r="H4" s="95"/>
      <c r="I4" s="66"/>
      <c r="J4" s="7"/>
      <c r="K4" s="7"/>
      <c r="L4" s="7"/>
      <c r="M4" s="7"/>
      <c r="N4" s="7"/>
      <c r="O4" s="7"/>
      <c r="P4" s="7"/>
      <c r="Q4" s="18"/>
      <c r="S4" s="88" t="s">
        <v>80</v>
      </c>
      <c r="T4" s="97" t="s">
        <v>89</v>
      </c>
      <c r="U4" s="115" t="s">
        <v>99</v>
      </c>
    </row>
    <row r="5" spans="2:21" ht="15" hidden="1" customHeight="1" x14ac:dyDescent="0.35">
      <c r="B5" s="92" t="s">
        <v>104</v>
      </c>
      <c r="C5" s="183" t="s">
        <v>139</v>
      </c>
      <c r="D5" s="93"/>
      <c r="E5" s="94"/>
      <c r="F5" s="94"/>
      <c r="G5" s="94"/>
      <c r="H5" s="95"/>
      <c r="I5" s="66"/>
      <c r="J5" s="7"/>
      <c r="K5" s="7"/>
      <c r="L5" s="7"/>
      <c r="M5" s="7"/>
      <c r="N5" s="7"/>
      <c r="O5" s="7"/>
      <c r="P5" s="7"/>
      <c r="Q5" s="18"/>
      <c r="S5" s="185"/>
      <c r="T5" s="187" t="s">
        <v>105</v>
      </c>
      <c r="U5" s="188"/>
    </row>
    <row r="6" spans="2:21" ht="15" hidden="1" customHeight="1" x14ac:dyDescent="0.35">
      <c r="B6" s="92" t="s">
        <v>103</v>
      </c>
      <c r="C6" s="184"/>
      <c r="D6" s="93"/>
      <c r="E6" s="94"/>
      <c r="F6" s="94"/>
      <c r="G6" s="94"/>
      <c r="H6" s="95"/>
      <c r="I6" s="66"/>
      <c r="J6" s="7"/>
      <c r="K6" s="7"/>
      <c r="L6" s="7"/>
      <c r="M6" s="7"/>
      <c r="N6" s="7"/>
      <c r="O6" s="7"/>
      <c r="P6" s="7"/>
      <c r="Q6" s="18"/>
      <c r="S6" s="186"/>
      <c r="T6" s="189"/>
      <c r="U6" s="190"/>
    </row>
    <row r="7" spans="2:21" ht="45" hidden="1" customHeight="1" x14ac:dyDescent="0.35">
      <c r="B7" s="92" t="s">
        <v>101</v>
      </c>
      <c r="C7" s="183" t="s">
        <v>140</v>
      </c>
      <c r="D7" s="93"/>
      <c r="E7" s="94"/>
      <c r="F7" s="94"/>
      <c r="G7" s="94"/>
      <c r="H7" s="95"/>
      <c r="I7" s="66"/>
      <c r="J7" s="7"/>
      <c r="K7" s="7"/>
      <c r="L7" s="7"/>
      <c r="M7" s="7"/>
      <c r="N7" s="7"/>
      <c r="O7" s="7"/>
      <c r="P7" s="7"/>
      <c r="Q7" s="18"/>
      <c r="S7" s="113" t="s">
        <v>106</v>
      </c>
    </row>
    <row r="8" spans="2:21" ht="15" hidden="1" customHeight="1" x14ac:dyDescent="0.35">
      <c r="B8" s="17" t="s">
        <v>80</v>
      </c>
      <c r="C8" s="184"/>
      <c r="D8" s="77"/>
      <c r="E8" s="7"/>
      <c r="F8" s="7"/>
      <c r="G8" s="7"/>
      <c r="H8" s="18"/>
      <c r="I8" s="66"/>
      <c r="J8" s="7"/>
      <c r="K8" s="7"/>
      <c r="L8" s="7"/>
      <c r="M8" s="7"/>
      <c r="N8" s="7"/>
      <c r="O8" s="7"/>
      <c r="P8" s="7"/>
      <c r="Q8" s="18"/>
    </row>
    <row r="9" spans="2:21" ht="15.5" x14ac:dyDescent="0.35">
      <c r="B9" s="19" t="s">
        <v>12</v>
      </c>
      <c r="C9" s="57"/>
      <c r="D9" s="78">
        <f>'Income Statement HSE VR'!D9+'Income Statement Education VR'!D9+'Income Statement UAV'!D9</f>
        <v>42900</v>
      </c>
      <c r="E9" s="38">
        <f>'Income Statement HSE VR'!E9+'Income Statement Education VR'!E9+'Income Statement UAV'!E9</f>
        <v>69700</v>
      </c>
      <c r="F9" s="38">
        <f>'Income Statement HSE VR'!F9+'Income Statement Education VR'!F9+'Income Statement UAV'!F9</f>
        <v>112700</v>
      </c>
      <c r="G9" s="38">
        <f>'Income Statement HSE VR'!G9+'Income Statement Education VR'!G9+'Income Statement UAV'!G9</f>
        <v>126800</v>
      </c>
      <c r="H9" s="39">
        <f>'Income Statement HSE VR'!H9+'Income Statement Education VR'!H9+'Income Statement UAV'!H9</f>
        <v>152000</v>
      </c>
      <c r="I9" s="67" t="e">
        <f>SUM('Income Statement UAV'!I9,#REF!,#REF!)</f>
        <v>#REF!</v>
      </c>
      <c r="J9" s="38" t="e">
        <f>SUM('Income Statement UAV'!J9,#REF!,#REF!)</f>
        <v>#REF!</v>
      </c>
      <c r="K9" s="38" t="e">
        <f>SUM('Income Statement UAV'!K9,#REF!,#REF!)</f>
        <v>#REF!</v>
      </c>
      <c r="L9" s="38" t="e">
        <f>SUM('Income Statement UAV'!L9,#REF!,#REF!)</f>
        <v>#REF!</v>
      </c>
      <c r="M9" s="38" t="e">
        <f>SUM('Income Statement UAV'!M9,#REF!,#REF!)</f>
        <v>#REF!</v>
      </c>
      <c r="N9" s="38" t="e">
        <f>SUM('Income Statement UAV'!N9,#REF!,#REF!)</f>
        <v>#REF!</v>
      </c>
      <c r="O9" s="38" t="e">
        <f>SUM('Income Statement UAV'!O9,#REF!,#REF!)</f>
        <v>#REF!</v>
      </c>
      <c r="P9" s="38" t="e">
        <f>SUM('Income Statement UAV'!P9,#REF!,#REF!)</f>
        <v>#REF!</v>
      </c>
      <c r="Q9" s="39" t="e">
        <f>SUM('Income Statement UAV'!Q9,#REF!,#REF!)</f>
        <v>#REF!</v>
      </c>
      <c r="S9" s="44"/>
    </row>
    <row r="10" spans="2:21" ht="6" customHeight="1" x14ac:dyDescent="0.35">
      <c r="B10" s="22"/>
      <c r="C10" s="10"/>
      <c r="D10" s="79"/>
      <c r="E10" s="10"/>
      <c r="F10" s="10"/>
      <c r="G10" s="10"/>
      <c r="H10" s="23"/>
      <c r="I10" s="10"/>
      <c r="J10" s="10"/>
      <c r="K10" s="10"/>
      <c r="L10" s="10"/>
      <c r="M10" s="10"/>
      <c r="N10" s="10"/>
      <c r="O10" s="10"/>
      <c r="P10" s="10"/>
      <c r="Q10" s="23"/>
    </row>
    <row r="11" spans="2:21" ht="15" hidden="1" customHeight="1" outlineLevel="1" x14ac:dyDescent="0.35">
      <c r="B11" s="21" t="s">
        <v>14</v>
      </c>
      <c r="C11" s="57"/>
      <c r="D11" s="76"/>
      <c r="E11" s="3"/>
      <c r="F11" s="3"/>
      <c r="G11" s="3"/>
      <c r="H11" s="16"/>
      <c r="I11" s="65"/>
      <c r="J11" s="3"/>
      <c r="K11" s="3"/>
      <c r="L11" s="3"/>
      <c r="M11" s="3"/>
      <c r="N11" s="3"/>
      <c r="O11" s="3"/>
      <c r="P11" s="3"/>
      <c r="Q11" s="16"/>
    </row>
    <row r="12" spans="2:21" ht="15" hidden="1" customHeight="1" outlineLevel="1" x14ac:dyDescent="0.35">
      <c r="B12" s="55" t="s">
        <v>83</v>
      </c>
      <c r="C12" s="58"/>
      <c r="D12" s="76" t="e">
        <f>SUM('Income Statement UAV'!D12,#REF!,#REF!)</f>
        <v>#REF!</v>
      </c>
      <c r="E12" s="3" t="e">
        <f>SUM('Income Statement UAV'!E12,#REF!,#REF!)</f>
        <v>#REF!</v>
      </c>
      <c r="F12" s="3" t="e">
        <f>SUM('Income Statement UAV'!F12,#REF!,#REF!)</f>
        <v>#REF!</v>
      </c>
      <c r="G12" s="3" t="e">
        <f>SUM('Income Statement UAV'!G12,#REF!,#REF!)</f>
        <v>#REF!</v>
      </c>
      <c r="H12" s="16" t="e">
        <f>SUM('Income Statement UAV'!H12,#REF!,#REF!)</f>
        <v>#REF!</v>
      </c>
      <c r="I12" s="65" t="e">
        <f>SUM('Income Statement UAV'!I12,#REF!,#REF!)</f>
        <v>#REF!</v>
      </c>
      <c r="J12" s="3" t="e">
        <f>SUM('Income Statement UAV'!J12,#REF!,#REF!)</f>
        <v>#REF!</v>
      </c>
      <c r="K12" s="3" t="e">
        <f>SUM('Income Statement UAV'!K12,#REF!,#REF!)</f>
        <v>#REF!</v>
      </c>
      <c r="L12" s="3" t="e">
        <f>SUM('Income Statement UAV'!L12,#REF!,#REF!)</f>
        <v>#REF!</v>
      </c>
      <c r="M12" s="3" t="e">
        <f>SUM('Income Statement UAV'!M12,#REF!,#REF!)</f>
        <v>#REF!</v>
      </c>
      <c r="N12" s="3" t="e">
        <f>SUM('Income Statement UAV'!N12,#REF!,#REF!)</f>
        <v>#REF!</v>
      </c>
      <c r="O12" s="3" t="e">
        <f>SUM('Income Statement UAV'!O12,#REF!,#REF!)</f>
        <v>#REF!</v>
      </c>
      <c r="P12" s="3" t="e">
        <f>SUM('Income Statement UAV'!P12,#REF!,#REF!)</f>
        <v>#REF!</v>
      </c>
      <c r="Q12" s="16" t="e">
        <f>SUM('Income Statement UAV'!Q12,#REF!,#REF!)</f>
        <v>#REF!</v>
      </c>
    </row>
    <row r="13" spans="2:21" ht="15" hidden="1" customHeight="1" outlineLevel="1" x14ac:dyDescent="0.35">
      <c r="B13" s="17" t="s">
        <v>82</v>
      </c>
      <c r="C13" s="58"/>
      <c r="D13" s="76" t="e">
        <f>SUM('Income Statement UAV'!D13,#REF!,#REF!)</f>
        <v>#REF!</v>
      </c>
      <c r="E13" s="3" t="e">
        <f>SUM('Income Statement UAV'!E13,#REF!,#REF!)</f>
        <v>#REF!</v>
      </c>
      <c r="F13" s="3" t="e">
        <f>SUM('Income Statement UAV'!F13,#REF!,#REF!)</f>
        <v>#REF!</v>
      </c>
      <c r="G13" s="3" t="e">
        <f>SUM('Income Statement UAV'!G13,#REF!,#REF!)</f>
        <v>#REF!</v>
      </c>
      <c r="H13" s="16" t="e">
        <f>SUM('Income Statement UAV'!H13,#REF!,#REF!)</f>
        <v>#REF!</v>
      </c>
      <c r="I13" s="65" t="e">
        <f>SUM('Income Statement UAV'!I13,#REF!,#REF!)</f>
        <v>#REF!</v>
      </c>
      <c r="J13" s="3" t="e">
        <f>SUM('Income Statement UAV'!J13,#REF!,#REF!)</f>
        <v>#REF!</v>
      </c>
      <c r="K13" s="3" t="e">
        <f>SUM('Income Statement UAV'!K13,#REF!,#REF!)</f>
        <v>#REF!</v>
      </c>
      <c r="L13" s="3" t="e">
        <f>SUM('Income Statement UAV'!L13,#REF!,#REF!)</f>
        <v>#REF!</v>
      </c>
      <c r="M13" s="3" t="e">
        <f>SUM('Income Statement UAV'!M13,#REF!,#REF!)</f>
        <v>#REF!</v>
      </c>
      <c r="N13" s="3" t="e">
        <f>SUM('Income Statement UAV'!N13,#REF!,#REF!)</f>
        <v>#REF!</v>
      </c>
      <c r="O13" s="3" t="e">
        <f>SUM('Income Statement UAV'!O13,#REF!,#REF!)</f>
        <v>#REF!</v>
      </c>
      <c r="P13" s="3" t="e">
        <f>SUM('Income Statement UAV'!P13,#REF!,#REF!)</f>
        <v>#REF!</v>
      </c>
      <c r="Q13" s="16" t="e">
        <f>SUM('Income Statement UAV'!Q13,#REF!,#REF!)</f>
        <v>#REF!</v>
      </c>
    </row>
    <row r="14" spans="2:21" ht="15" hidden="1" customHeight="1" outlineLevel="1" x14ac:dyDescent="0.35">
      <c r="B14" s="17" t="s">
        <v>81</v>
      </c>
      <c r="C14" s="58"/>
      <c r="D14" s="76" t="e">
        <f>SUM('Income Statement UAV'!D14,#REF!,#REF!)</f>
        <v>#REF!</v>
      </c>
      <c r="E14" s="3" t="e">
        <f>SUM('Income Statement UAV'!E14,#REF!,#REF!)</f>
        <v>#REF!</v>
      </c>
      <c r="F14" s="3" t="e">
        <f>SUM('Income Statement UAV'!F14,#REF!,#REF!)</f>
        <v>#REF!</v>
      </c>
      <c r="G14" s="3" t="e">
        <f>SUM('Income Statement UAV'!G14,#REF!,#REF!)</f>
        <v>#REF!</v>
      </c>
      <c r="H14" s="16" t="e">
        <f>SUM('Income Statement UAV'!H14,#REF!,#REF!)</f>
        <v>#REF!</v>
      </c>
      <c r="I14" s="65" t="e">
        <f>SUM('Income Statement UAV'!I14,#REF!,#REF!)</f>
        <v>#REF!</v>
      </c>
      <c r="J14" s="3" t="e">
        <f>SUM('Income Statement UAV'!J14,#REF!,#REF!)</f>
        <v>#REF!</v>
      </c>
      <c r="K14" s="3" t="e">
        <f>SUM('Income Statement UAV'!K14,#REF!,#REF!)</f>
        <v>#REF!</v>
      </c>
      <c r="L14" s="3" t="e">
        <f>SUM('Income Statement UAV'!L14,#REF!,#REF!)</f>
        <v>#REF!</v>
      </c>
      <c r="M14" s="3" t="e">
        <f>SUM('Income Statement UAV'!M14,#REF!,#REF!)</f>
        <v>#REF!</v>
      </c>
      <c r="N14" s="3" t="e">
        <f>SUM('Income Statement UAV'!N14,#REF!,#REF!)</f>
        <v>#REF!</v>
      </c>
      <c r="O14" s="3" t="e">
        <f>SUM('Income Statement UAV'!O14,#REF!,#REF!)</f>
        <v>#REF!</v>
      </c>
      <c r="P14" s="3" t="e">
        <f>SUM('Income Statement UAV'!P14,#REF!,#REF!)</f>
        <v>#REF!</v>
      </c>
      <c r="Q14" s="16" t="e">
        <f>SUM('Income Statement UAV'!Q14,#REF!,#REF!)</f>
        <v>#REF!</v>
      </c>
    </row>
    <row r="15" spans="2:21" ht="15" hidden="1" customHeight="1" outlineLevel="1" x14ac:dyDescent="0.35">
      <c r="B15" s="17" t="s">
        <v>84</v>
      </c>
      <c r="C15" s="57"/>
      <c r="D15" s="76" t="e">
        <f>SUM('Income Statement UAV'!D15,#REF!,#REF!)</f>
        <v>#REF!</v>
      </c>
      <c r="E15" s="3" t="e">
        <f>SUM('Income Statement UAV'!E15,#REF!,#REF!)</f>
        <v>#REF!</v>
      </c>
      <c r="F15" s="3" t="e">
        <f>SUM('Income Statement UAV'!F15,#REF!,#REF!)</f>
        <v>#REF!</v>
      </c>
      <c r="G15" s="3" t="e">
        <f>SUM('Income Statement UAV'!G15,#REF!,#REF!)</f>
        <v>#REF!</v>
      </c>
      <c r="H15" s="16" t="e">
        <f>SUM('Income Statement UAV'!H15,#REF!,#REF!)</f>
        <v>#REF!</v>
      </c>
      <c r="I15" s="65" t="e">
        <f>SUM('Income Statement UAV'!I15,#REF!,#REF!)</f>
        <v>#REF!</v>
      </c>
      <c r="J15" s="3" t="e">
        <f>SUM('Income Statement UAV'!J15,#REF!,#REF!)</f>
        <v>#REF!</v>
      </c>
      <c r="K15" s="3" t="e">
        <f>SUM('Income Statement UAV'!K15,#REF!,#REF!)</f>
        <v>#REF!</v>
      </c>
      <c r="L15" s="3" t="e">
        <f>SUM('Income Statement UAV'!L15,#REF!,#REF!)</f>
        <v>#REF!</v>
      </c>
      <c r="M15" s="3" t="e">
        <f>SUM('Income Statement UAV'!M15,#REF!,#REF!)</f>
        <v>#REF!</v>
      </c>
      <c r="N15" s="3" t="e">
        <f>SUM('Income Statement UAV'!N15,#REF!,#REF!)</f>
        <v>#REF!</v>
      </c>
      <c r="O15" s="3" t="e">
        <f>SUM('Income Statement UAV'!O15,#REF!,#REF!)</f>
        <v>#REF!</v>
      </c>
      <c r="P15" s="3" t="e">
        <f>SUM('Income Statement UAV'!P15,#REF!,#REF!)</f>
        <v>#REF!</v>
      </c>
      <c r="Q15" s="16" t="e">
        <f>SUM('Income Statement UAV'!Q15,#REF!,#REF!)</f>
        <v>#REF!</v>
      </c>
    </row>
    <row r="16" spans="2:21" ht="15" hidden="1" customHeight="1" outlineLevel="1" x14ac:dyDescent="0.35">
      <c r="B16" s="17" t="s">
        <v>85</v>
      </c>
      <c r="C16" s="57"/>
      <c r="D16" s="76" t="e">
        <f>SUM('Income Statement UAV'!D16,#REF!,#REF!)</f>
        <v>#REF!</v>
      </c>
      <c r="E16" s="3" t="e">
        <f>SUM('Income Statement UAV'!E16,#REF!,#REF!)</f>
        <v>#REF!</v>
      </c>
      <c r="F16" s="3" t="e">
        <f>SUM('Income Statement UAV'!F16,#REF!,#REF!)</f>
        <v>#REF!</v>
      </c>
      <c r="G16" s="3" t="e">
        <f>SUM('Income Statement UAV'!G16,#REF!,#REF!)</f>
        <v>#REF!</v>
      </c>
      <c r="H16" s="16" t="e">
        <f>SUM('Income Statement UAV'!H16,#REF!,#REF!)</f>
        <v>#REF!</v>
      </c>
      <c r="I16" s="65" t="e">
        <f>SUM('Income Statement UAV'!I16,#REF!,#REF!)</f>
        <v>#REF!</v>
      </c>
      <c r="J16" s="3" t="e">
        <f>SUM('Income Statement UAV'!J16,#REF!,#REF!)</f>
        <v>#REF!</v>
      </c>
      <c r="K16" s="3" t="e">
        <f>SUM('Income Statement UAV'!K16,#REF!,#REF!)</f>
        <v>#REF!</v>
      </c>
      <c r="L16" s="3" t="e">
        <f>SUM('Income Statement UAV'!L16,#REF!,#REF!)</f>
        <v>#REF!</v>
      </c>
      <c r="M16" s="3" t="e">
        <f>SUM('Income Statement UAV'!M16,#REF!,#REF!)</f>
        <v>#REF!</v>
      </c>
      <c r="N16" s="3" t="e">
        <f>SUM('Income Statement UAV'!N16,#REF!,#REF!)</f>
        <v>#REF!</v>
      </c>
      <c r="O16" s="3" t="e">
        <f>SUM('Income Statement UAV'!O16,#REF!,#REF!)</f>
        <v>#REF!</v>
      </c>
      <c r="P16" s="3" t="e">
        <f>SUM('Income Statement UAV'!P16,#REF!,#REF!)</f>
        <v>#REF!</v>
      </c>
      <c r="Q16" s="16" t="e">
        <f>SUM('Income Statement UAV'!Q16,#REF!,#REF!)</f>
        <v>#REF!</v>
      </c>
    </row>
    <row r="17" spans="2:17" ht="15" hidden="1" customHeight="1" outlineLevel="1" x14ac:dyDescent="0.35">
      <c r="B17" s="17" t="s">
        <v>86</v>
      </c>
      <c r="C17" s="58"/>
      <c r="D17" s="76" t="e">
        <f>SUM('Income Statement UAV'!D17,#REF!,#REF!)</f>
        <v>#REF!</v>
      </c>
      <c r="E17" s="3" t="e">
        <f>SUM('Income Statement UAV'!E17,#REF!,#REF!)</f>
        <v>#REF!</v>
      </c>
      <c r="F17" s="3" t="e">
        <f>SUM('Income Statement UAV'!F17,#REF!,#REF!)</f>
        <v>#REF!</v>
      </c>
      <c r="G17" s="3" t="e">
        <f>SUM('Income Statement UAV'!G17,#REF!,#REF!)</f>
        <v>#REF!</v>
      </c>
      <c r="H17" s="16" t="e">
        <f>SUM('Income Statement UAV'!H17,#REF!,#REF!)</f>
        <v>#REF!</v>
      </c>
      <c r="I17" s="65" t="e">
        <f>SUM('Income Statement UAV'!I17,#REF!,#REF!)</f>
        <v>#REF!</v>
      </c>
      <c r="J17" s="3" t="e">
        <f>SUM('Income Statement UAV'!J17,#REF!,#REF!)</f>
        <v>#REF!</v>
      </c>
      <c r="K17" s="3" t="e">
        <f>SUM('Income Statement UAV'!K17,#REF!,#REF!)</f>
        <v>#REF!</v>
      </c>
      <c r="L17" s="3" t="e">
        <f>SUM('Income Statement UAV'!L17,#REF!,#REF!)</f>
        <v>#REF!</v>
      </c>
      <c r="M17" s="3" t="e">
        <f>SUM('Income Statement UAV'!M17,#REF!,#REF!)</f>
        <v>#REF!</v>
      </c>
      <c r="N17" s="3" t="e">
        <f>SUM('Income Statement UAV'!N17,#REF!,#REF!)</f>
        <v>#REF!</v>
      </c>
      <c r="O17" s="3" t="e">
        <f>SUM('Income Statement UAV'!O17,#REF!,#REF!)</f>
        <v>#REF!</v>
      </c>
      <c r="P17" s="3" t="e">
        <f>SUM('Income Statement UAV'!P17,#REF!,#REF!)</f>
        <v>#REF!</v>
      </c>
      <c r="Q17" s="16" t="e">
        <f>SUM('Income Statement UAV'!Q17,#REF!,#REF!)</f>
        <v>#REF!</v>
      </c>
    </row>
    <row r="18" spans="2:17" ht="15" hidden="1" customHeight="1" outlineLevel="1" x14ac:dyDescent="0.35">
      <c r="B18" s="17" t="s">
        <v>15</v>
      </c>
      <c r="C18" s="58"/>
      <c r="D18" s="76" t="e">
        <f>SUM('Income Statement UAV'!D18,#REF!,#REF!)</f>
        <v>#REF!</v>
      </c>
      <c r="E18" s="3" t="e">
        <f>SUM('Income Statement UAV'!E18,#REF!,#REF!)</f>
        <v>#REF!</v>
      </c>
      <c r="F18" s="3" t="e">
        <f>SUM('Income Statement UAV'!F18,#REF!,#REF!)</f>
        <v>#REF!</v>
      </c>
      <c r="G18" s="3" t="e">
        <f>SUM('Income Statement UAV'!G18,#REF!,#REF!)</f>
        <v>#REF!</v>
      </c>
      <c r="H18" s="16" t="e">
        <f>SUM('Income Statement UAV'!H18,#REF!,#REF!)</f>
        <v>#REF!</v>
      </c>
      <c r="I18" s="65" t="e">
        <f>SUM('Income Statement UAV'!I18,#REF!,#REF!)</f>
        <v>#REF!</v>
      </c>
      <c r="J18" s="3" t="e">
        <f>SUM('Income Statement UAV'!J18,#REF!,#REF!)</f>
        <v>#REF!</v>
      </c>
      <c r="K18" s="3" t="e">
        <f>SUM('Income Statement UAV'!K18,#REF!,#REF!)</f>
        <v>#REF!</v>
      </c>
      <c r="L18" s="3" t="e">
        <f>SUM('Income Statement UAV'!L18,#REF!,#REF!)</f>
        <v>#REF!</v>
      </c>
      <c r="M18" s="3" t="e">
        <f>SUM('Income Statement UAV'!M18,#REF!,#REF!)</f>
        <v>#REF!</v>
      </c>
      <c r="N18" s="3" t="e">
        <f>SUM('Income Statement UAV'!N18,#REF!,#REF!)</f>
        <v>#REF!</v>
      </c>
      <c r="O18" s="3" t="e">
        <f>SUM('Income Statement UAV'!O18,#REF!,#REF!)</f>
        <v>#REF!</v>
      </c>
      <c r="P18" s="3" t="e">
        <f>SUM('Income Statement UAV'!P18,#REF!,#REF!)</f>
        <v>#REF!</v>
      </c>
      <c r="Q18" s="16" t="e">
        <f>SUM('Income Statement UAV'!Q18,#REF!,#REF!)</f>
        <v>#REF!</v>
      </c>
    </row>
    <row r="19" spans="2:17" collapsed="1" x14ac:dyDescent="0.35">
      <c r="B19" s="41" t="s">
        <v>51</v>
      </c>
      <c r="C19" s="58"/>
      <c r="D19" s="76">
        <f>'Income Statement HSE VR'!D19+'Income Statement Education VR'!D19+'Income Statement UAV'!D19</f>
        <v>5100</v>
      </c>
      <c r="E19" s="3">
        <f>'Income Statement HSE VR'!E19+'Income Statement Education VR'!E19+'Income Statement UAV'!E19</f>
        <v>5100</v>
      </c>
      <c r="F19" s="3">
        <f>'Income Statement HSE VR'!F19+'Income Statement Education VR'!F19+'Income Statement UAV'!F19</f>
        <v>5400</v>
      </c>
      <c r="G19" s="3">
        <f>'Income Statement HSE VR'!G19+'Income Statement Education VR'!G19+'Income Statement UAV'!G19</f>
        <v>5400</v>
      </c>
      <c r="H19" s="16">
        <f>'Income Statement HSE VR'!H19+'Income Statement Education VR'!H19+'Income Statement UAV'!H19</f>
        <v>5700</v>
      </c>
      <c r="I19" s="65" t="e">
        <f>SUM('Income Statement UAV'!I19,#REF!,#REF!)</f>
        <v>#REF!</v>
      </c>
      <c r="J19" s="3" t="e">
        <f>SUM('Income Statement UAV'!J19,#REF!,#REF!)</f>
        <v>#REF!</v>
      </c>
      <c r="K19" s="3" t="e">
        <f>SUM('Income Statement UAV'!K19,#REF!,#REF!)</f>
        <v>#REF!</v>
      </c>
      <c r="L19" s="3" t="e">
        <f>SUM('Income Statement UAV'!L19,#REF!,#REF!)</f>
        <v>#REF!</v>
      </c>
      <c r="M19" s="3" t="e">
        <f>SUM('Income Statement UAV'!M19,#REF!,#REF!)</f>
        <v>#REF!</v>
      </c>
      <c r="N19" s="3" t="e">
        <f>SUM('Income Statement UAV'!N19,#REF!,#REF!)</f>
        <v>#REF!</v>
      </c>
      <c r="O19" s="3" t="e">
        <f>SUM('Income Statement UAV'!O19,#REF!,#REF!)</f>
        <v>#REF!</v>
      </c>
      <c r="P19" s="3" t="e">
        <f>SUM('Income Statement UAV'!P19,#REF!,#REF!)</f>
        <v>#REF!</v>
      </c>
      <c r="Q19" s="16" t="e">
        <f>SUM('Income Statement UAV'!Q19,#REF!,#REF!)</f>
        <v>#REF!</v>
      </c>
    </row>
    <row r="20" spans="2:17" ht="6" customHeight="1" x14ac:dyDescent="0.35">
      <c r="B20" s="22"/>
      <c r="C20" s="10"/>
      <c r="D20" s="79"/>
      <c r="E20" s="10"/>
      <c r="F20" s="10"/>
      <c r="G20" s="10"/>
      <c r="H20" s="23"/>
      <c r="I20" s="10"/>
      <c r="J20" s="10"/>
      <c r="K20" s="10"/>
      <c r="L20" s="10"/>
      <c r="M20" s="10"/>
      <c r="N20" s="10"/>
      <c r="O20" s="10"/>
      <c r="P20" s="10"/>
      <c r="Q20" s="23"/>
    </row>
    <row r="21" spans="2:17" ht="15.5" x14ac:dyDescent="0.35">
      <c r="B21" s="19" t="s">
        <v>13</v>
      </c>
      <c r="C21" s="59"/>
      <c r="D21" s="78">
        <f>'Income Statement HSE VR'!D21+'Income Statement Education VR'!D21+'Income Statement UAV'!D21</f>
        <v>37800</v>
      </c>
      <c r="E21" s="38">
        <f>'Income Statement HSE VR'!E21+'Income Statement Education VR'!E21+'Income Statement UAV'!E21</f>
        <v>64600</v>
      </c>
      <c r="F21" s="38">
        <f>'Income Statement HSE VR'!F21+'Income Statement Education VR'!F21+'Income Statement UAV'!F21</f>
        <v>107300</v>
      </c>
      <c r="G21" s="38">
        <f>'Income Statement HSE VR'!G21+'Income Statement Education VR'!G21+'Income Statement UAV'!G21</f>
        <v>121400</v>
      </c>
      <c r="H21" s="39">
        <f>'Income Statement HSE VR'!H21+'Income Statement Education VR'!H21+'Income Statement UAV'!H21</f>
        <v>146300</v>
      </c>
      <c r="I21" s="67" t="e">
        <f>SUM('Income Statement UAV'!I21,#REF!,#REF!)</f>
        <v>#REF!</v>
      </c>
      <c r="J21" s="38" t="e">
        <f>SUM('Income Statement UAV'!J21,#REF!,#REF!)</f>
        <v>#REF!</v>
      </c>
      <c r="K21" s="38" t="e">
        <f>SUM('Income Statement UAV'!K21,#REF!,#REF!)</f>
        <v>#REF!</v>
      </c>
      <c r="L21" s="38" t="e">
        <f>SUM('Income Statement UAV'!L21,#REF!,#REF!)</f>
        <v>#REF!</v>
      </c>
      <c r="M21" s="38" t="e">
        <f>SUM('Income Statement UAV'!M21,#REF!,#REF!)</f>
        <v>#REF!</v>
      </c>
      <c r="N21" s="38" t="e">
        <f>SUM('Income Statement UAV'!N21,#REF!,#REF!)</f>
        <v>#REF!</v>
      </c>
      <c r="O21" s="38" t="e">
        <f>SUM('Income Statement UAV'!O21,#REF!,#REF!)</f>
        <v>#REF!</v>
      </c>
      <c r="P21" s="38" t="e">
        <f>SUM('Income Statement UAV'!P21,#REF!,#REF!)</f>
        <v>#REF!</v>
      </c>
      <c r="Q21" s="39" t="e">
        <f>SUM('Income Statement UAV'!Q21,#REF!,#REF!)</f>
        <v>#REF!</v>
      </c>
    </row>
    <row r="22" spans="2:17" ht="6" hidden="1" customHeight="1" x14ac:dyDescent="0.35">
      <c r="B22" s="22"/>
      <c r="C22" s="10"/>
      <c r="D22" s="79"/>
      <c r="E22" s="10"/>
      <c r="F22" s="10"/>
      <c r="G22" s="10"/>
      <c r="H22" s="23"/>
      <c r="I22" s="10"/>
      <c r="J22" s="10"/>
      <c r="K22" s="10"/>
      <c r="L22" s="10"/>
      <c r="M22" s="10"/>
      <c r="N22" s="10"/>
      <c r="O22" s="10"/>
      <c r="P22" s="10"/>
      <c r="Q22" s="23"/>
    </row>
    <row r="23" spans="2:17" hidden="1" outlineLevel="1" x14ac:dyDescent="0.35">
      <c r="B23" s="21" t="s">
        <v>16</v>
      </c>
      <c r="C23" s="58"/>
      <c r="D23" s="76"/>
      <c r="E23" s="3"/>
      <c r="F23" s="3"/>
      <c r="G23" s="3"/>
      <c r="H23" s="16"/>
      <c r="I23" s="65"/>
      <c r="J23" s="3"/>
      <c r="K23" s="3"/>
      <c r="L23" s="3"/>
      <c r="M23" s="3"/>
      <c r="N23" s="3"/>
      <c r="O23" s="3"/>
      <c r="P23" s="3"/>
      <c r="Q23" s="16"/>
    </row>
    <row r="24" spans="2:17" hidden="1" outlineLevel="1" x14ac:dyDescent="0.35">
      <c r="B24" s="17" t="s">
        <v>17</v>
      </c>
      <c r="C24" s="58"/>
      <c r="D24" s="76" t="e">
        <f>SUM('Income Statement UAV'!D24,#REF!,#REF!)</f>
        <v>#REF!</v>
      </c>
      <c r="E24" s="3" t="e">
        <f>SUM('Income Statement UAV'!E24,#REF!,#REF!)</f>
        <v>#REF!</v>
      </c>
      <c r="F24" s="3" t="e">
        <f>SUM('Income Statement UAV'!F24,#REF!,#REF!)</f>
        <v>#REF!</v>
      </c>
      <c r="G24" s="3" t="e">
        <f>SUM('Income Statement UAV'!G24,#REF!,#REF!)</f>
        <v>#REF!</v>
      </c>
      <c r="H24" s="16" t="e">
        <f>SUM('Income Statement UAV'!H24,#REF!,#REF!)</f>
        <v>#REF!</v>
      </c>
      <c r="I24" s="65" t="e">
        <f>SUM('Income Statement UAV'!I24,#REF!,#REF!)</f>
        <v>#REF!</v>
      </c>
      <c r="J24" s="3" t="e">
        <f>SUM('Income Statement UAV'!J24,#REF!,#REF!)</f>
        <v>#REF!</v>
      </c>
      <c r="K24" s="3" t="e">
        <f>SUM('Income Statement UAV'!K24,#REF!,#REF!)</f>
        <v>#REF!</v>
      </c>
      <c r="L24" s="3" t="e">
        <f>SUM('Income Statement UAV'!L24,#REF!,#REF!)</f>
        <v>#REF!</v>
      </c>
      <c r="M24" s="3" t="e">
        <f>SUM('Income Statement UAV'!M24,#REF!,#REF!)</f>
        <v>#REF!</v>
      </c>
      <c r="N24" s="3" t="e">
        <f>SUM('Income Statement UAV'!N24,#REF!,#REF!)</f>
        <v>#REF!</v>
      </c>
      <c r="O24" s="3" t="e">
        <f>SUM('Income Statement UAV'!O24,#REF!,#REF!)</f>
        <v>#REF!</v>
      </c>
      <c r="P24" s="3" t="e">
        <f>SUM('Income Statement UAV'!P24,#REF!,#REF!)</f>
        <v>#REF!</v>
      </c>
      <c r="Q24" s="16" t="e">
        <f>SUM('Income Statement UAV'!Q24,#REF!,#REF!)</f>
        <v>#REF!</v>
      </c>
    </row>
    <row r="25" spans="2:17" hidden="1" outlineLevel="1" x14ac:dyDescent="0.35">
      <c r="B25" s="17" t="s">
        <v>18</v>
      </c>
      <c r="C25" s="58"/>
      <c r="D25" s="76" t="e">
        <f>SUM('Income Statement UAV'!D25,#REF!,#REF!)</f>
        <v>#REF!</v>
      </c>
      <c r="E25" s="3" t="e">
        <f>SUM('Income Statement UAV'!E25,#REF!,#REF!)</f>
        <v>#REF!</v>
      </c>
      <c r="F25" s="3" t="e">
        <f>SUM('Income Statement UAV'!F25,#REF!,#REF!)</f>
        <v>#REF!</v>
      </c>
      <c r="G25" s="3" t="e">
        <f>SUM('Income Statement UAV'!G25,#REF!,#REF!)</f>
        <v>#REF!</v>
      </c>
      <c r="H25" s="16" t="e">
        <f>SUM('Income Statement UAV'!H25,#REF!,#REF!)</f>
        <v>#REF!</v>
      </c>
      <c r="I25" s="65" t="e">
        <f>SUM('Income Statement UAV'!I25,#REF!,#REF!)</f>
        <v>#REF!</v>
      </c>
      <c r="J25" s="3" t="e">
        <f>SUM('Income Statement UAV'!J25,#REF!,#REF!)</f>
        <v>#REF!</v>
      </c>
      <c r="K25" s="3" t="e">
        <f>SUM('Income Statement UAV'!K25,#REF!,#REF!)</f>
        <v>#REF!</v>
      </c>
      <c r="L25" s="3" t="e">
        <f>SUM('Income Statement UAV'!L25,#REF!,#REF!)</f>
        <v>#REF!</v>
      </c>
      <c r="M25" s="3" t="e">
        <f>SUM('Income Statement UAV'!M25,#REF!,#REF!)</f>
        <v>#REF!</v>
      </c>
      <c r="N25" s="3" t="e">
        <f>SUM('Income Statement UAV'!N25,#REF!,#REF!)</f>
        <v>#REF!</v>
      </c>
      <c r="O25" s="3" t="e">
        <f>SUM('Income Statement UAV'!O25,#REF!,#REF!)</f>
        <v>#REF!</v>
      </c>
      <c r="P25" s="3" t="e">
        <f>SUM('Income Statement UAV'!P25,#REF!,#REF!)</f>
        <v>#REF!</v>
      </c>
      <c r="Q25" s="16" t="e">
        <f>SUM('Income Statement UAV'!Q25,#REF!,#REF!)</f>
        <v>#REF!</v>
      </c>
    </row>
    <row r="26" spans="2:17" hidden="1" outlineLevel="1" x14ac:dyDescent="0.35">
      <c r="B26" s="17" t="s">
        <v>19</v>
      </c>
      <c r="C26" s="58"/>
      <c r="D26" s="76" t="e">
        <f>SUM('Income Statement UAV'!D26,#REF!,#REF!)</f>
        <v>#REF!</v>
      </c>
      <c r="E26" s="3" t="e">
        <f>SUM('Income Statement UAV'!E26,#REF!,#REF!)</f>
        <v>#REF!</v>
      </c>
      <c r="F26" s="3" t="e">
        <f>SUM('Income Statement UAV'!F26,#REF!,#REF!)</f>
        <v>#REF!</v>
      </c>
      <c r="G26" s="3" t="e">
        <f>SUM('Income Statement UAV'!G26,#REF!,#REF!)</f>
        <v>#REF!</v>
      </c>
      <c r="H26" s="16" t="e">
        <f>SUM('Income Statement UAV'!H26,#REF!,#REF!)</f>
        <v>#REF!</v>
      </c>
      <c r="I26" s="65" t="e">
        <f>SUM('Income Statement UAV'!I26,#REF!,#REF!)</f>
        <v>#REF!</v>
      </c>
      <c r="J26" s="3" t="e">
        <f>SUM('Income Statement UAV'!J26,#REF!,#REF!)</f>
        <v>#REF!</v>
      </c>
      <c r="K26" s="3" t="e">
        <f>SUM('Income Statement UAV'!K26,#REF!,#REF!)</f>
        <v>#REF!</v>
      </c>
      <c r="L26" s="3" t="e">
        <f>SUM('Income Statement UAV'!L26,#REF!,#REF!)</f>
        <v>#REF!</v>
      </c>
      <c r="M26" s="3" t="e">
        <f>SUM('Income Statement UAV'!M26,#REF!,#REF!)</f>
        <v>#REF!</v>
      </c>
      <c r="N26" s="3" t="e">
        <f>SUM('Income Statement UAV'!N26,#REF!,#REF!)</f>
        <v>#REF!</v>
      </c>
      <c r="O26" s="3" t="e">
        <f>SUM('Income Statement UAV'!O26,#REF!,#REF!)</f>
        <v>#REF!</v>
      </c>
      <c r="P26" s="3" t="e">
        <f>SUM('Income Statement UAV'!P26,#REF!,#REF!)</f>
        <v>#REF!</v>
      </c>
      <c r="Q26" s="16" t="e">
        <f>SUM('Income Statement UAV'!Q26,#REF!,#REF!)</f>
        <v>#REF!</v>
      </c>
    </row>
    <row r="27" spans="2:17" hidden="1" outlineLevel="1" x14ac:dyDescent="0.35">
      <c r="B27" s="17" t="s">
        <v>20</v>
      </c>
      <c r="C27" s="58"/>
      <c r="D27" s="76" t="e">
        <f>SUM('Income Statement UAV'!D27,#REF!,#REF!)</f>
        <v>#REF!</v>
      </c>
      <c r="E27" s="3" t="e">
        <f>SUM('Income Statement UAV'!E27,#REF!,#REF!)</f>
        <v>#REF!</v>
      </c>
      <c r="F27" s="3" t="e">
        <f>SUM('Income Statement UAV'!F27,#REF!,#REF!)</f>
        <v>#REF!</v>
      </c>
      <c r="G27" s="3" t="e">
        <f>SUM('Income Statement UAV'!G27,#REF!,#REF!)</f>
        <v>#REF!</v>
      </c>
      <c r="H27" s="16" t="e">
        <f>SUM('Income Statement UAV'!H27,#REF!,#REF!)</f>
        <v>#REF!</v>
      </c>
      <c r="I27" s="65" t="e">
        <f>SUM('Income Statement UAV'!I27,#REF!,#REF!)</f>
        <v>#REF!</v>
      </c>
      <c r="J27" s="3" t="e">
        <f>SUM('Income Statement UAV'!J27,#REF!,#REF!)</f>
        <v>#REF!</v>
      </c>
      <c r="K27" s="3" t="e">
        <f>SUM('Income Statement UAV'!K27,#REF!,#REF!)</f>
        <v>#REF!</v>
      </c>
      <c r="L27" s="3" t="e">
        <f>SUM('Income Statement UAV'!L27,#REF!,#REF!)</f>
        <v>#REF!</v>
      </c>
      <c r="M27" s="3" t="e">
        <f>SUM('Income Statement UAV'!M27,#REF!,#REF!)</f>
        <v>#REF!</v>
      </c>
      <c r="N27" s="3" t="e">
        <f>SUM('Income Statement UAV'!N27,#REF!,#REF!)</f>
        <v>#REF!</v>
      </c>
      <c r="O27" s="3" t="e">
        <f>SUM('Income Statement UAV'!O27,#REF!,#REF!)</f>
        <v>#REF!</v>
      </c>
      <c r="P27" s="3" t="e">
        <f>SUM('Income Statement UAV'!P27,#REF!,#REF!)</f>
        <v>#REF!</v>
      </c>
      <c r="Q27" s="16" t="e">
        <f>SUM('Income Statement UAV'!Q27,#REF!,#REF!)</f>
        <v>#REF!</v>
      </c>
    </row>
    <row r="28" spans="2:17" hidden="1" outlineLevel="1" x14ac:dyDescent="0.35">
      <c r="B28" s="17" t="s">
        <v>21</v>
      </c>
      <c r="C28" s="58"/>
      <c r="D28" s="76" t="e">
        <f>SUM('Income Statement UAV'!D28,#REF!,#REF!)</f>
        <v>#REF!</v>
      </c>
      <c r="E28" s="3" t="e">
        <f>SUM('Income Statement UAV'!E28,#REF!,#REF!)</f>
        <v>#REF!</v>
      </c>
      <c r="F28" s="3" t="e">
        <f>SUM('Income Statement UAV'!F28,#REF!,#REF!)</f>
        <v>#REF!</v>
      </c>
      <c r="G28" s="3" t="e">
        <f>SUM('Income Statement UAV'!G28,#REF!,#REF!)</f>
        <v>#REF!</v>
      </c>
      <c r="H28" s="16" t="e">
        <f>SUM('Income Statement UAV'!H28,#REF!,#REF!)</f>
        <v>#REF!</v>
      </c>
      <c r="I28" s="65" t="e">
        <f>SUM('Income Statement UAV'!I28,#REF!,#REF!)</f>
        <v>#REF!</v>
      </c>
      <c r="J28" s="3" t="e">
        <f>SUM('Income Statement UAV'!J28,#REF!,#REF!)</f>
        <v>#REF!</v>
      </c>
      <c r="K28" s="3" t="e">
        <f>SUM('Income Statement UAV'!K28,#REF!,#REF!)</f>
        <v>#REF!</v>
      </c>
      <c r="L28" s="3" t="e">
        <f>SUM('Income Statement UAV'!L28,#REF!,#REF!)</f>
        <v>#REF!</v>
      </c>
      <c r="M28" s="3" t="e">
        <f>SUM('Income Statement UAV'!M28,#REF!,#REF!)</f>
        <v>#REF!</v>
      </c>
      <c r="N28" s="3" t="e">
        <f>SUM('Income Statement UAV'!N28,#REF!,#REF!)</f>
        <v>#REF!</v>
      </c>
      <c r="O28" s="3" t="e">
        <f>SUM('Income Statement UAV'!O28,#REF!,#REF!)</f>
        <v>#REF!</v>
      </c>
      <c r="P28" s="3" t="e">
        <f>SUM('Income Statement UAV'!P28,#REF!,#REF!)</f>
        <v>#REF!</v>
      </c>
      <c r="Q28" s="16" t="e">
        <f>SUM('Income Statement UAV'!Q28,#REF!,#REF!)</f>
        <v>#REF!</v>
      </c>
    </row>
    <row r="29" spans="2:17" hidden="1" outlineLevel="1" x14ac:dyDescent="0.35">
      <c r="B29" s="17" t="s">
        <v>22</v>
      </c>
      <c r="C29" s="58"/>
      <c r="D29" s="76" t="e">
        <f>SUM('Income Statement UAV'!D29,#REF!,#REF!)</f>
        <v>#REF!</v>
      </c>
      <c r="E29" s="3" t="e">
        <f>SUM('Income Statement UAV'!E29,#REF!,#REF!)</f>
        <v>#REF!</v>
      </c>
      <c r="F29" s="3" t="e">
        <f>SUM('Income Statement UAV'!F29,#REF!,#REF!)</f>
        <v>#REF!</v>
      </c>
      <c r="G29" s="3" t="e">
        <f>SUM('Income Statement UAV'!G29,#REF!,#REF!)</f>
        <v>#REF!</v>
      </c>
      <c r="H29" s="16" t="e">
        <f>SUM('Income Statement UAV'!H29,#REF!,#REF!)</f>
        <v>#REF!</v>
      </c>
      <c r="I29" s="65" t="e">
        <f>SUM('Income Statement UAV'!I29,#REF!,#REF!)</f>
        <v>#REF!</v>
      </c>
      <c r="J29" s="3" t="e">
        <f>SUM('Income Statement UAV'!J29,#REF!,#REF!)</f>
        <v>#REF!</v>
      </c>
      <c r="K29" s="3" t="e">
        <f>SUM('Income Statement UAV'!K29,#REF!,#REF!)</f>
        <v>#REF!</v>
      </c>
      <c r="L29" s="3" t="e">
        <f>SUM('Income Statement UAV'!L29,#REF!,#REF!)</f>
        <v>#REF!</v>
      </c>
      <c r="M29" s="3" t="e">
        <f>SUM('Income Statement UAV'!M29,#REF!,#REF!)</f>
        <v>#REF!</v>
      </c>
      <c r="N29" s="3" t="e">
        <f>SUM('Income Statement UAV'!N29,#REF!,#REF!)</f>
        <v>#REF!</v>
      </c>
      <c r="O29" s="3" t="e">
        <f>SUM('Income Statement UAV'!O29,#REF!,#REF!)</f>
        <v>#REF!</v>
      </c>
      <c r="P29" s="3" t="e">
        <f>SUM('Income Statement UAV'!P29,#REF!,#REF!)</f>
        <v>#REF!</v>
      </c>
      <c r="Q29" s="16" t="e">
        <f>SUM('Income Statement UAV'!Q29,#REF!,#REF!)</f>
        <v>#REF!</v>
      </c>
    </row>
    <row r="30" spans="2:17" hidden="1" collapsed="1" x14ac:dyDescent="0.35">
      <c r="B30" s="41" t="s">
        <v>63</v>
      </c>
      <c r="C30" s="58"/>
      <c r="D30" s="76">
        <f>'Income Statement HSE VR'!D30+'Income Statement Education VR'!D30+'Income Statement UAV'!D30</f>
        <v>0</v>
      </c>
      <c r="E30" s="3">
        <f>'Income Statement HSE VR'!E30+'Income Statement Education VR'!E30+'Income Statement UAV'!E30</f>
        <v>0</v>
      </c>
      <c r="F30" s="3">
        <f>'Income Statement HSE VR'!F30+'Income Statement Education VR'!F30+'Income Statement UAV'!F30</f>
        <v>0</v>
      </c>
      <c r="G30" s="3">
        <f>'Income Statement HSE VR'!G30+'Income Statement Education VR'!G30+'Income Statement UAV'!G30</f>
        <v>0</v>
      </c>
      <c r="H30" s="16">
        <f>'Income Statement HSE VR'!H30+'Income Statement Education VR'!H30+'Income Statement UAV'!H30</f>
        <v>0</v>
      </c>
      <c r="I30" s="65" t="e">
        <f>SUM('Income Statement UAV'!I30,#REF!,#REF!)</f>
        <v>#REF!</v>
      </c>
      <c r="J30" s="3" t="e">
        <f>SUM('Income Statement UAV'!J30,#REF!,#REF!)</f>
        <v>#REF!</v>
      </c>
      <c r="K30" s="3" t="e">
        <f>SUM('Income Statement UAV'!K30,#REF!,#REF!)</f>
        <v>#REF!</v>
      </c>
      <c r="L30" s="3" t="e">
        <f>SUM('Income Statement UAV'!L30,#REF!,#REF!)</f>
        <v>#REF!</v>
      </c>
      <c r="M30" s="3" t="e">
        <f>SUM('Income Statement UAV'!M30,#REF!,#REF!)</f>
        <v>#REF!</v>
      </c>
      <c r="N30" s="3" t="e">
        <f>SUM('Income Statement UAV'!N30,#REF!,#REF!)</f>
        <v>#REF!</v>
      </c>
      <c r="O30" s="3" t="e">
        <f>SUM('Income Statement UAV'!O30,#REF!,#REF!)</f>
        <v>#REF!</v>
      </c>
      <c r="P30" s="3" t="e">
        <f>SUM('Income Statement UAV'!P30,#REF!,#REF!)</f>
        <v>#REF!</v>
      </c>
      <c r="Q30" s="16" t="e">
        <f>SUM('Income Statement UAV'!Q30,#REF!,#REF!)</f>
        <v>#REF!</v>
      </c>
    </row>
    <row r="31" spans="2:17" ht="6" customHeight="1" x14ac:dyDescent="0.35">
      <c r="B31" s="22"/>
      <c r="C31" s="10"/>
      <c r="D31" s="79"/>
      <c r="E31" s="10"/>
      <c r="F31" s="10"/>
      <c r="G31" s="10"/>
      <c r="H31" s="23"/>
      <c r="I31" s="10"/>
      <c r="J31" s="10"/>
      <c r="K31" s="10"/>
      <c r="L31" s="10"/>
      <c r="M31" s="10"/>
      <c r="N31" s="10"/>
      <c r="O31" s="10"/>
      <c r="P31" s="10"/>
      <c r="Q31" s="23"/>
    </row>
    <row r="32" spans="2:17" hidden="1" outlineLevel="1" x14ac:dyDescent="0.35">
      <c r="B32" s="21" t="s">
        <v>52</v>
      </c>
      <c r="C32" s="58"/>
      <c r="D32" s="76"/>
      <c r="E32" s="3"/>
      <c r="F32" s="3"/>
      <c r="G32" s="3"/>
      <c r="H32" s="16"/>
      <c r="I32" s="65"/>
      <c r="J32" s="3"/>
      <c r="K32" s="3"/>
      <c r="L32" s="3"/>
      <c r="M32" s="3"/>
      <c r="N32" s="3"/>
      <c r="O32" s="3"/>
      <c r="P32" s="3"/>
      <c r="Q32" s="16"/>
    </row>
    <row r="33" spans="2:17" hidden="1" outlineLevel="1" x14ac:dyDescent="0.35">
      <c r="B33" s="17" t="s">
        <v>23</v>
      </c>
      <c r="C33" s="58"/>
      <c r="D33" s="76" t="e">
        <f>SUM('Income Statement UAV'!D33,#REF!,#REF!)</f>
        <v>#REF!</v>
      </c>
      <c r="E33" s="3" t="e">
        <f>SUM('Income Statement UAV'!E33,#REF!,#REF!)</f>
        <v>#REF!</v>
      </c>
      <c r="F33" s="3" t="e">
        <f>SUM('Income Statement UAV'!F33,#REF!,#REF!)</f>
        <v>#REF!</v>
      </c>
      <c r="G33" s="3" t="e">
        <f>SUM('Income Statement UAV'!G33,#REF!,#REF!)</f>
        <v>#REF!</v>
      </c>
      <c r="H33" s="16" t="e">
        <f>SUM('Income Statement UAV'!H33,#REF!,#REF!)</f>
        <v>#REF!</v>
      </c>
      <c r="I33" s="65" t="e">
        <f>SUM('Income Statement UAV'!I33,#REF!,#REF!)</f>
        <v>#REF!</v>
      </c>
      <c r="J33" s="3" t="e">
        <f>SUM('Income Statement UAV'!J33,#REF!,#REF!)</f>
        <v>#REF!</v>
      </c>
      <c r="K33" s="3" t="e">
        <f>SUM('Income Statement UAV'!K33,#REF!,#REF!)</f>
        <v>#REF!</v>
      </c>
      <c r="L33" s="3" t="e">
        <f>SUM('Income Statement UAV'!L33,#REF!,#REF!)</f>
        <v>#REF!</v>
      </c>
      <c r="M33" s="3" t="e">
        <f>SUM('Income Statement UAV'!M33,#REF!,#REF!)</f>
        <v>#REF!</v>
      </c>
      <c r="N33" s="3" t="e">
        <f>SUM('Income Statement UAV'!N33,#REF!,#REF!)</f>
        <v>#REF!</v>
      </c>
      <c r="O33" s="3" t="e">
        <f>SUM('Income Statement UAV'!O33,#REF!,#REF!)</f>
        <v>#REF!</v>
      </c>
      <c r="P33" s="3" t="e">
        <f>SUM('Income Statement UAV'!P33,#REF!,#REF!)</f>
        <v>#REF!</v>
      </c>
      <c r="Q33" s="16" t="e">
        <f>SUM('Income Statement UAV'!Q33,#REF!,#REF!)</f>
        <v>#REF!</v>
      </c>
    </row>
    <row r="34" spans="2:17" hidden="1" outlineLevel="1" x14ac:dyDescent="0.35">
      <c r="B34" s="17" t="s">
        <v>57</v>
      </c>
      <c r="C34" s="58"/>
      <c r="D34" s="76" t="e">
        <f>SUM('Income Statement UAV'!D34,#REF!,#REF!)</f>
        <v>#REF!</v>
      </c>
      <c r="E34" s="3" t="e">
        <f>SUM('Income Statement UAV'!E34,#REF!,#REF!)</f>
        <v>#REF!</v>
      </c>
      <c r="F34" s="3" t="e">
        <f>SUM('Income Statement UAV'!F34,#REF!,#REF!)</f>
        <v>#REF!</v>
      </c>
      <c r="G34" s="3" t="e">
        <f>SUM('Income Statement UAV'!G34,#REF!,#REF!)</f>
        <v>#REF!</v>
      </c>
      <c r="H34" s="16" t="e">
        <f>SUM('Income Statement UAV'!H34,#REF!,#REF!)</f>
        <v>#REF!</v>
      </c>
      <c r="I34" s="65" t="e">
        <f>SUM('Income Statement UAV'!I34,#REF!,#REF!)</f>
        <v>#REF!</v>
      </c>
      <c r="J34" s="3" t="e">
        <f>SUM('Income Statement UAV'!J34,#REF!,#REF!)</f>
        <v>#REF!</v>
      </c>
      <c r="K34" s="3" t="e">
        <f>SUM('Income Statement UAV'!K34,#REF!,#REF!)</f>
        <v>#REF!</v>
      </c>
      <c r="L34" s="3" t="e">
        <f>SUM('Income Statement UAV'!L34,#REF!,#REF!)</f>
        <v>#REF!</v>
      </c>
      <c r="M34" s="3" t="e">
        <f>SUM('Income Statement UAV'!M34,#REF!,#REF!)</f>
        <v>#REF!</v>
      </c>
      <c r="N34" s="3" t="e">
        <f>SUM('Income Statement UAV'!N34,#REF!,#REF!)</f>
        <v>#REF!</v>
      </c>
      <c r="O34" s="3" t="e">
        <f>SUM('Income Statement UAV'!O34,#REF!,#REF!)</f>
        <v>#REF!</v>
      </c>
      <c r="P34" s="3" t="e">
        <f>SUM('Income Statement UAV'!P34,#REF!,#REF!)</f>
        <v>#REF!</v>
      </c>
      <c r="Q34" s="16" t="e">
        <f>SUM('Income Statement UAV'!Q34,#REF!,#REF!)</f>
        <v>#REF!</v>
      </c>
    </row>
    <row r="35" spans="2:17" hidden="1" outlineLevel="1" x14ac:dyDescent="0.35">
      <c r="B35" s="17" t="s">
        <v>58</v>
      </c>
      <c r="C35" s="58"/>
      <c r="D35" s="76" t="e">
        <f>SUM('Income Statement UAV'!D35,#REF!,#REF!)</f>
        <v>#REF!</v>
      </c>
      <c r="E35" s="3" t="e">
        <f>SUM('Income Statement UAV'!E35,#REF!,#REF!)</f>
        <v>#REF!</v>
      </c>
      <c r="F35" s="3" t="e">
        <f>SUM('Income Statement UAV'!F35,#REF!,#REF!)</f>
        <v>#REF!</v>
      </c>
      <c r="G35" s="3" t="e">
        <f>SUM('Income Statement UAV'!G35,#REF!,#REF!)</f>
        <v>#REF!</v>
      </c>
      <c r="H35" s="16" t="e">
        <f>SUM('Income Statement UAV'!H35,#REF!,#REF!)</f>
        <v>#REF!</v>
      </c>
      <c r="I35" s="65" t="e">
        <f>SUM('Income Statement UAV'!I35,#REF!,#REF!)</f>
        <v>#REF!</v>
      </c>
      <c r="J35" s="3" t="e">
        <f>SUM('Income Statement UAV'!J35,#REF!,#REF!)</f>
        <v>#REF!</v>
      </c>
      <c r="K35" s="3" t="e">
        <f>SUM('Income Statement UAV'!K35,#REF!,#REF!)</f>
        <v>#REF!</v>
      </c>
      <c r="L35" s="3" t="e">
        <f>SUM('Income Statement UAV'!L35,#REF!,#REF!)</f>
        <v>#REF!</v>
      </c>
      <c r="M35" s="3" t="e">
        <f>SUM('Income Statement UAV'!M35,#REF!,#REF!)</f>
        <v>#REF!</v>
      </c>
      <c r="N35" s="3" t="e">
        <f>SUM('Income Statement UAV'!N35,#REF!,#REF!)</f>
        <v>#REF!</v>
      </c>
      <c r="O35" s="3" t="e">
        <f>SUM('Income Statement UAV'!O35,#REF!,#REF!)</f>
        <v>#REF!</v>
      </c>
      <c r="P35" s="3" t="e">
        <f>SUM('Income Statement UAV'!P35,#REF!,#REF!)</f>
        <v>#REF!</v>
      </c>
      <c r="Q35" s="16" t="e">
        <f>SUM('Income Statement UAV'!Q35,#REF!,#REF!)</f>
        <v>#REF!</v>
      </c>
    </row>
    <row r="36" spans="2:17" hidden="1" outlineLevel="1" x14ac:dyDescent="0.35">
      <c r="B36" s="17" t="s">
        <v>24</v>
      </c>
      <c r="C36" s="58"/>
      <c r="D36" s="76" t="e">
        <f>SUM('Income Statement UAV'!D36,#REF!,#REF!)</f>
        <v>#REF!</v>
      </c>
      <c r="E36" s="3" t="e">
        <f>SUM('Income Statement UAV'!E36,#REF!,#REF!)</f>
        <v>#REF!</v>
      </c>
      <c r="F36" s="3" t="e">
        <f>SUM('Income Statement UAV'!F36,#REF!,#REF!)</f>
        <v>#REF!</v>
      </c>
      <c r="G36" s="3" t="e">
        <f>SUM('Income Statement UAV'!G36,#REF!,#REF!)</f>
        <v>#REF!</v>
      </c>
      <c r="H36" s="16" t="e">
        <f>SUM('Income Statement UAV'!H36,#REF!,#REF!)</f>
        <v>#REF!</v>
      </c>
      <c r="I36" s="65" t="e">
        <f>SUM('Income Statement UAV'!I36,#REF!,#REF!)</f>
        <v>#REF!</v>
      </c>
      <c r="J36" s="3" t="e">
        <f>SUM('Income Statement UAV'!J36,#REF!,#REF!)</f>
        <v>#REF!</v>
      </c>
      <c r="K36" s="3" t="e">
        <f>SUM('Income Statement UAV'!K36,#REF!,#REF!)</f>
        <v>#REF!</v>
      </c>
      <c r="L36" s="3" t="e">
        <f>SUM('Income Statement UAV'!L36,#REF!,#REF!)</f>
        <v>#REF!</v>
      </c>
      <c r="M36" s="3" t="e">
        <f>SUM('Income Statement UAV'!M36,#REF!,#REF!)</f>
        <v>#REF!</v>
      </c>
      <c r="N36" s="3" t="e">
        <f>SUM('Income Statement UAV'!N36,#REF!,#REF!)</f>
        <v>#REF!</v>
      </c>
      <c r="O36" s="3" t="e">
        <f>SUM('Income Statement UAV'!O36,#REF!,#REF!)</f>
        <v>#REF!</v>
      </c>
      <c r="P36" s="3" t="e">
        <f>SUM('Income Statement UAV'!P36,#REF!,#REF!)</f>
        <v>#REF!</v>
      </c>
      <c r="Q36" s="16" t="e">
        <f>SUM('Income Statement UAV'!Q36,#REF!,#REF!)</f>
        <v>#REF!</v>
      </c>
    </row>
    <row r="37" spans="2:17" hidden="1" outlineLevel="1" x14ac:dyDescent="0.35">
      <c r="B37" s="17" t="s">
        <v>25</v>
      </c>
      <c r="C37" s="58"/>
      <c r="D37" s="76" t="e">
        <f>SUM('Income Statement UAV'!D37,#REF!,#REF!)</f>
        <v>#REF!</v>
      </c>
      <c r="E37" s="3" t="e">
        <f>SUM('Income Statement UAV'!E37,#REF!,#REF!)</f>
        <v>#REF!</v>
      </c>
      <c r="F37" s="3" t="e">
        <f>SUM('Income Statement UAV'!F37,#REF!,#REF!)</f>
        <v>#REF!</v>
      </c>
      <c r="G37" s="3" t="e">
        <f>SUM('Income Statement UAV'!G37,#REF!,#REF!)</f>
        <v>#REF!</v>
      </c>
      <c r="H37" s="16" t="e">
        <f>SUM('Income Statement UAV'!H37,#REF!,#REF!)</f>
        <v>#REF!</v>
      </c>
      <c r="I37" s="65" t="e">
        <f>SUM('Income Statement UAV'!I37,#REF!,#REF!)</f>
        <v>#REF!</v>
      </c>
      <c r="J37" s="3" t="e">
        <f>SUM('Income Statement UAV'!J37,#REF!,#REF!)</f>
        <v>#REF!</v>
      </c>
      <c r="K37" s="3" t="e">
        <f>SUM('Income Statement UAV'!K37,#REF!,#REF!)</f>
        <v>#REF!</v>
      </c>
      <c r="L37" s="3" t="e">
        <f>SUM('Income Statement UAV'!L37,#REF!,#REF!)</f>
        <v>#REF!</v>
      </c>
      <c r="M37" s="3" t="e">
        <f>SUM('Income Statement UAV'!M37,#REF!,#REF!)</f>
        <v>#REF!</v>
      </c>
      <c r="N37" s="3" t="e">
        <f>SUM('Income Statement UAV'!N37,#REF!,#REF!)</f>
        <v>#REF!</v>
      </c>
      <c r="O37" s="3" t="e">
        <f>SUM('Income Statement UAV'!O37,#REF!,#REF!)</f>
        <v>#REF!</v>
      </c>
      <c r="P37" s="3" t="e">
        <f>SUM('Income Statement UAV'!P37,#REF!,#REF!)</f>
        <v>#REF!</v>
      </c>
      <c r="Q37" s="16" t="e">
        <f>SUM('Income Statement UAV'!Q37,#REF!,#REF!)</f>
        <v>#REF!</v>
      </c>
    </row>
    <row r="38" spans="2:17" hidden="1" outlineLevel="1" x14ac:dyDescent="0.35">
      <c r="B38" s="17" t="s">
        <v>26</v>
      </c>
      <c r="C38" s="58"/>
      <c r="D38" s="76" t="e">
        <f>SUM('Income Statement UAV'!D38,#REF!,#REF!)</f>
        <v>#REF!</v>
      </c>
      <c r="E38" s="3" t="e">
        <f>SUM('Income Statement UAV'!E38,#REF!,#REF!)</f>
        <v>#REF!</v>
      </c>
      <c r="F38" s="3" t="e">
        <f>SUM('Income Statement UAV'!F38,#REF!,#REF!)</f>
        <v>#REF!</v>
      </c>
      <c r="G38" s="3" t="e">
        <f>SUM('Income Statement UAV'!G38,#REF!,#REF!)</f>
        <v>#REF!</v>
      </c>
      <c r="H38" s="16" t="e">
        <f>SUM('Income Statement UAV'!H38,#REF!,#REF!)</f>
        <v>#REF!</v>
      </c>
      <c r="I38" s="65" t="e">
        <f>SUM('Income Statement UAV'!I38,#REF!,#REF!)</f>
        <v>#REF!</v>
      </c>
      <c r="J38" s="3" t="e">
        <f>SUM('Income Statement UAV'!J38,#REF!,#REF!)</f>
        <v>#REF!</v>
      </c>
      <c r="K38" s="3" t="e">
        <f>SUM('Income Statement UAV'!K38,#REF!,#REF!)</f>
        <v>#REF!</v>
      </c>
      <c r="L38" s="3" t="e">
        <f>SUM('Income Statement UAV'!L38,#REF!,#REF!)</f>
        <v>#REF!</v>
      </c>
      <c r="M38" s="3" t="e">
        <f>SUM('Income Statement UAV'!M38,#REF!,#REF!)</f>
        <v>#REF!</v>
      </c>
      <c r="N38" s="3" t="e">
        <f>SUM('Income Statement UAV'!N38,#REF!,#REF!)</f>
        <v>#REF!</v>
      </c>
      <c r="O38" s="3" t="e">
        <f>SUM('Income Statement UAV'!O38,#REF!,#REF!)</f>
        <v>#REF!</v>
      </c>
      <c r="P38" s="3" t="e">
        <f>SUM('Income Statement UAV'!P38,#REF!,#REF!)</f>
        <v>#REF!</v>
      </c>
      <c r="Q38" s="16" t="e">
        <f>SUM('Income Statement UAV'!Q38,#REF!,#REF!)</f>
        <v>#REF!</v>
      </c>
    </row>
    <row r="39" spans="2:17" hidden="1" outlineLevel="1" x14ac:dyDescent="0.35">
      <c r="B39" s="17" t="s">
        <v>27</v>
      </c>
      <c r="C39" s="58"/>
      <c r="D39" s="76" t="e">
        <f>SUM('Income Statement UAV'!D39,#REF!,#REF!)</f>
        <v>#REF!</v>
      </c>
      <c r="E39" s="3" t="e">
        <f>SUM('Income Statement UAV'!E39,#REF!,#REF!)</f>
        <v>#REF!</v>
      </c>
      <c r="F39" s="3" t="e">
        <f>SUM('Income Statement UAV'!F39,#REF!,#REF!)</f>
        <v>#REF!</v>
      </c>
      <c r="G39" s="3" t="e">
        <f>SUM('Income Statement UAV'!G39,#REF!,#REF!)</f>
        <v>#REF!</v>
      </c>
      <c r="H39" s="16" t="e">
        <f>SUM('Income Statement UAV'!H39,#REF!,#REF!)</f>
        <v>#REF!</v>
      </c>
      <c r="I39" s="65" t="e">
        <f>SUM('Income Statement UAV'!I39,#REF!,#REF!)</f>
        <v>#REF!</v>
      </c>
      <c r="J39" s="3" t="e">
        <f>SUM('Income Statement UAV'!J39,#REF!,#REF!)</f>
        <v>#REF!</v>
      </c>
      <c r="K39" s="3" t="e">
        <f>SUM('Income Statement UAV'!K39,#REF!,#REF!)</f>
        <v>#REF!</v>
      </c>
      <c r="L39" s="3" t="e">
        <f>SUM('Income Statement UAV'!L39,#REF!,#REF!)</f>
        <v>#REF!</v>
      </c>
      <c r="M39" s="3" t="e">
        <f>SUM('Income Statement UAV'!M39,#REF!,#REF!)</f>
        <v>#REF!</v>
      </c>
      <c r="N39" s="3" t="e">
        <f>SUM('Income Statement UAV'!N39,#REF!,#REF!)</f>
        <v>#REF!</v>
      </c>
      <c r="O39" s="3" t="e">
        <f>SUM('Income Statement UAV'!O39,#REF!,#REF!)</f>
        <v>#REF!</v>
      </c>
      <c r="P39" s="3" t="e">
        <f>SUM('Income Statement UAV'!P39,#REF!,#REF!)</f>
        <v>#REF!</v>
      </c>
      <c r="Q39" s="16" t="e">
        <f>SUM('Income Statement UAV'!Q39,#REF!,#REF!)</f>
        <v>#REF!</v>
      </c>
    </row>
    <row r="40" spans="2:17" hidden="1" outlineLevel="1" x14ac:dyDescent="0.35">
      <c r="B40" s="17" t="s">
        <v>28</v>
      </c>
      <c r="C40" s="58"/>
      <c r="D40" s="76" t="e">
        <f>SUM('Income Statement UAV'!D40,#REF!,#REF!)</f>
        <v>#REF!</v>
      </c>
      <c r="E40" s="3" t="e">
        <f>SUM('Income Statement UAV'!E40,#REF!,#REF!)</f>
        <v>#REF!</v>
      </c>
      <c r="F40" s="3" t="e">
        <f>SUM('Income Statement UAV'!F40,#REF!,#REF!)</f>
        <v>#REF!</v>
      </c>
      <c r="G40" s="3" t="e">
        <f>SUM('Income Statement UAV'!G40,#REF!,#REF!)</f>
        <v>#REF!</v>
      </c>
      <c r="H40" s="16" t="e">
        <f>SUM('Income Statement UAV'!H40,#REF!,#REF!)</f>
        <v>#REF!</v>
      </c>
      <c r="I40" s="65" t="e">
        <f>SUM('Income Statement UAV'!I40,#REF!,#REF!)</f>
        <v>#REF!</v>
      </c>
      <c r="J40" s="3" t="e">
        <f>SUM('Income Statement UAV'!J40,#REF!,#REF!)</f>
        <v>#REF!</v>
      </c>
      <c r="K40" s="3" t="e">
        <f>SUM('Income Statement UAV'!K40,#REF!,#REF!)</f>
        <v>#REF!</v>
      </c>
      <c r="L40" s="3" t="e">
        <f>SUM('Income Statement UAV'!L40,#REF!,#REF!)</f>
        <v>#REF!</v>
      </c>
      <c r="M40" s="3" t="e">
        <f>SUM('Income Statement UAV'!M40,#REF!,#REF!)</f>
        <v>#REF!</v>
      </c>
      <c r="N40" s="3" t="e">
        <f>SUM('Income Statement UAV'!N40,#REF!,#REF!)</f>
        <v>#REF!</v>
      </c>
      <c r="O40" s="3" t="e">
        <f>SUM('Income Statement UAV'!O40,#REF!,#REF!)</f>
        <v>#REF!</v>
      </c>
      <c r="P40" s="3" t="e">
        <f>SUM('Income Statement UAV'!P40,#REF!,#REF!)</f>
        <v>#REF!</v>
      </c>
      <c r="Q40" s="16" t="e">
        <f>SUM('Income Statement UAV'!Q40,#REF!,#REF!)</f>
        <v>#REF!</v>
      </c>
    </row>
    <row r="41" spans="2:17" hidden="1" outlineLevel="1" x14ac:dyDescent="0.35">
      <c r="B41" s="17" t="s">
        <v>29</v>
      </c>
      <c r="C41" s="58"/>
      <c r="D41" s="76" t="e">
        <f>SUM('Income Statement UAV'!D41,#REF!,#REF!)</f>
        <v>#REF!</v>
      </c>
      <c r="E41" s="3" t="e">
        <f>SUM('Income Statement UAV'!E41,#REF!,#REF!)</f>
        <v>#REF!</v>
      </c>
      <c r="F41" s="3" t="e">
        <f>SUM('Income Statement UAV'!F41,#REF!,#REF!)</f>
        <v>#REF!</v>
      </c>
      <c r="G41" s="3" t="e">
        <f>SUM('Income Statement UAV'!G41,#REF!,#REF!)</f>
        <v>#REF!</v>
      </c>
      <c r="H41" s="16" t="e">
        <f>SUM('Income Statement UAV'!H41,#REF!,#REF!)</f>
        <v>#REF!</v>
      </c>
      <c r="I41" s="65" t="e">
        <f>SUM('Income Statement UAV'!I41,#REF!,#REF!)</f>
        <v>#REF!</v>
      </c>
      <c r="J41" s="3" t="e">
        <f>SUM('Income Statement UAV'!J41,#REF!,#REF!)</f>
        <v>#REF!</v>
      </c>
      <c r="K41" s="3" t="e">
        <f>SUM('Income Statement UAV'!K41,#REF!,#REF!)</f>
        <v>#REF!</v>
      </c>
      <c r="L41" s="3" t="e">
        <f>SUM('Income Statement UAV'!L41,#REF!,#REF!)</f>
        <v>#REF!</v>
      </c>
      <c r="M41" s="3" t="e">
        <f>SUM('Income Statement UAV'!M41,#REF!,#REF!)</f>
        <v>#REF!</v>
      </c>
      <c r="N41" s="3" t="e">
        <f>SUM('Income Statement UAV'!N41,#REF!,#REF!)</f>
        <v>#REF!</v>
      </c>
      <c r="O41" s="3" t="e">
        <f>SUM('Income Statement UAV'!O41,#REF!,#REF!)</f>
        <v>#REF!</v>
      </c>
      <c r="P41" s="3" t="e">
        <f>SUM('Income Statement UAV'!P41,#REF!,#REF!)</f>
        <v>#REF!</v>
      </c>
      <c r="Q41" s="16" t="e">
        <f>SUM('Income Statement UAV'!Q41,#REF!,#REF!)</f>
        <v>#REF!</v>
      </c>
    </row>
    <row r="42" spans="2:17" hidden="1" outlineLevel="1" x14ac:dyDescent="0.35">
      <c r="B42" s="17" t="s">
        <v>30</v>
      </c>
      <c r="C42" s="58"/>
      <c r="D42" s="76" t="e">
        <f>SUM('Income Statement UAV'!D42,#REF!,#REF!)</f>
        <v>#REF!</v>
      </c>
      <c r="E42" s="3" t="e">
        <f>SUM('Income Statement UAV'!E42,#REF!,#REF!)</f>
        <v>#REF!</v>
      </c>
      <c r="F42" s="3" t="e">
        <f>SUM('Income Statement UAV'!F42,#REF!,#REF!)</f>
        <v>#REF!</v>
      </c>
      <c r="G42" s="3" t="e">
        <f>SUM('Income Statement UAV'!G42,#REF!,#REF!)</f>
        <v>#REF!</v>
      </c>
      <c r="H42" s="16" t="e">
        <f>SUM('Income Statement UAV'!H42,#REF!,#REF!)</f>
        <v>#REF!</v>
      </c>
      <c r="I42" s="65" t="e">
        <f>SUM('Income Statement UAV'!I42,#REF!,#REF!)</f>
        <v>#REF!</v>
      </c>
      <c r="J42" s="3" t="e">
        <f>SUM('Income Statement UAV'!J42,#REF!,#REF!)</f>
        <v>#REF!</v>
      </c>
      <c r="K42" s="3" t="e">
        <f>SUM('Income Statement UAV'!K42,#REF!,#REF!)</f>
        <v>#REF!</v>
      </c>
      <c r="L42" s="3" t="e">
        <f>SUM('Income Statement UAV'!L42,#REF!,#REF!)</f>
        <v>#REF!</v>
      </c>
      <c r="M42" s="3" t="e">
        <f>SUM('Income Statement UAV'!M42,#REF!,#REF!)</f>
        <v>#REF!</v>
      </c>
      <c r="N42" s="3" t="e">
        <f>SUM('Income Statement UAV'!N42,#REF!,#REF!)</f>
        <v>#REF!</v>
      </c>
      <c r="O42" s="3" t="e">
        <f>SUM('Income Statement UAV'!O42,#REF!,#REF!)</f>
        <v>#REF!</v>
      </c>
      <c r="P42" s="3" t="e">
        <f>SUM('Income Statement UAV'!P42,#REF!,#REF!)</f>
        <v>#REF!</v>
      </c>
      <c r="Q42" s="16" t="e">
        <f>SUM('Income Statement UAV'!Q42,#REF!,#REF!)</f>
        <v>#REF!</v>
      </c>
    </row>
    <row r="43" spans="2:17" hidden="1" outlineLevel="1" x14ac:dyDescent="0.35">
      <c r="B43" s="17" t="s">
        <v>31</v>
      </c>
      <c r="C43" s="58"/>
      <c r="D43" s="76" t="e">
        <f>SUM('Income Statement UAV'!D43,#REF!,#REF!)</f>
        <v>#REF!</v>
      </c>
      <c r="E43" s="3" t="e">
        <f>SUM('Income Statement UAV'!E43,#REF!,#REF!)</f>
        <v>#REF!</v>
      </c>
      <c r="F43" s="3" t="e">
        <f>SUM('Income Statement UAV'!F43,#REF!,#REF!)</f>
        <v>#REF!</v>
      </c>
      <c r="G43" s="3" t="e">
        <f>SUM('Income Statement UAV'!G43,#REF!,#REF!)</f>
        <v>#REF!</v>
      </c>
      <c r="H43" s="16" t="e">
        <f>SUM('Income Statement UAV'!H43,#REF!,#REF!)</f>
        <v>#REF!</v>
      </c>
      <c r="I43" s="65" t="e">
        <f>SUM('Income Statement UAV'!I43,#REF!,#REF!)</f>
        <v>#REF!</v>
      </c>
      <c r="J43" s="3" t="e">
        <f>SUM('Income Statement UAV'!J43,#REF!,#REF!)</f>
        <v>#REF!</v>
      </c>
      <c r="K43" s="3" t="e">
        <f>SUM('Income Statement UAV'!K43,#REF!,#REF!)</f>
        <v>#REF!</v>
      </c>
      <c r="L43" s="3" t="e">
        <f>SUM('Income Statement UAV'!L43,#REF!,#REF!)</f>
        <v>#REF!</v>
      </c>
      <c r="M43" s="3" t="e">
        <f>SUM('Income Statement UAV'!M43,#REF!,#REF!)</f>
        <v>#REF!</v>
      </c>
      <c r="N43" s="3" t="e">
        <f>SUM('Income Statement UAV'!N43,#REF!,#REF!)</f>
        <v>#REF!</v>
      </c>
      <c r="O43" s="3" t="e">
        <f>SUM('Income Statement UAV'!O43,#REF!,#REF!)</f>
        <v>#REF!</v>
      </c>
      <c r="P43" s="3" t="e">
        <f>SUM('Income Statement UAV'!P43,#REF!,#REF!)</f>
        <v>#REF!</v>
      </c>
      <c r="Q43" s="16" t="e">
        <f>SUM('Income Statement UAV'!Q43,#REF!,#REF!)</f>
        <v>#REF!</v>
      </c>
    </row>
    <row r="44" spans="2:17" hidden="1" outlineLevel="1" x14ac:dyDescent="0.35">
      <c r="B44" s="17" t="s">
        <v>32</v>
      </c>
      <c r="C44" s="58"/>
      <c r="D44" s="76" t="e">
        <f>SUM('Income Statement UAV'!D44,#REF!,#REF!)</f>
        <v>#REF!</v>
      </c>
      <c r="E44" s="3" t="e">
        <f>SUM('Income Statement UAV'!E44,#REF!,#REF!)</f>
        <v>#REF!</v>
      </c>
      <c r="F44" s="3" t="e">
        <f>SUM('Income Statement UAV'!F44,#REF!,#REF!)</f>
        <v>#REF!</v>
      </c>
      <c r="G44" s="3" t="e">
        <f>SUM('Income Statement UAV'!G44,#REF!,#REF!)</f>
        <v>#REF!</v>
      </c>
      <c r="H44" s="16" t="e">
        <f>SUM('Income Statement UAV'!H44,#REF!,#REF!)</f>
        <v>#REF!</v>
      </c>
      <c r="I44" s="65" t="e">
        <f>SUM('Income Statement UAV'!I44,#REF!,#REF!)</f>
        <v>#REF!</v>
      </c>
      <c r="J44" s="3" t="e">
        <f>SUM('Income Statement UAV'!J44,#REF!,#REF!)</f>
        <v>#REF!</v>
      </c>
      <c r="K44" s="3" t="e">
        <f>SUM('Income Statement UAV'!K44,#REF!,#REF!)</f>
        <v>#REF!</v>
      </c>
      <c r="L44" s="3" t="e">
        <f>SUM('Income Statement UAV'!L44,#REF!,#REF!)</f>
        <v>#REF!</v>
      </c>
      <c r="M44" s="3" t="e">
        <f>SUM('Income Statement UAV'!M44,#REF!,#REF!)</f>
        <v>#REF!</v>
      </c>
      <c r="N44" s="3" t="e">
        <f>SUM('Income Statement UAV'!N44,#REF!,#REF!)</f>
        <v>#REF!</v>
      </c>
      <c r="O44" s="3" t="e">
        <f>SUM('Income Statement UAV'!O44,#REF!,#REF!)</f>
        <v>#REF!</v>
      </c>
      <c r="P44" s="3" t="e">
        <f>SUM('Income Statement UAV'!P44,#REF!,#REF!)</f>
        <v>#REF!</v>
      </c>
      <c r="Q44" s="16" t="e">
        <f>SUM('Income Statement UAV'!Q44,#REF!,#REF!)</f>
        <v>#REF!</v>
      </c>
    </row>
    <row r="45" spans="2:17" hidden="1" outlineLevel="1" x14ac:dyDescent="0.35">
      <c r="B45" s="17" t="s">
        <v>33</v>
      </c>
      <c r="C45" s="58"/>
      <c r="D45" s="76" t="e">
        <f>SUM('Income Statement UAV'!D45,#REF!,#REF!)</f>
        <v>#REF!</v>
      </c>
      <c r="E45" s="3" t="e">
        <f>SUM('Income Statement UAV'!E45,#REF!,#REF!)</f>
        <v>#REF!</v>
      </c>
      <c r="F45" s="3" t="e">
        <f>SUM('Income Statement UAV'!F45,#REF!,#REF!)</f>
        <v>#REF!</v>
      </c>
      <c r="G45" s="3" t="e">
        <f>SUM('Income Statement UAV'!G45,#REF!,#REF!)</f>
        <v>#REF!</v>
      </c>
      <c r="H45" s="16" t="e">
        <f>SUM('Income Statement UAV'!H45,#REF!,#REF!)</f>
        <v>#REF!</v>
      </c>
      <c r="I45" s="65" t="e">
        <f>SUM('Income Statement UAV'!I45,#REF!,#REF!)</f>
        <v>#REF!</v>
      </c>
      <c r="J45" s="3" t="e">
        <f>SUM('Income Statement UAV'!J45,#REF!,#REF!)</f>
        <v>#REF!</v>
      </c>
      <c r="K45" s="3" t="e">
        <f>SUM('Income Statement UAV'!K45,#REF!,#REF!)</f>
        <v>#REF!</v>
      </c>
      <c r="L45" s="3" t="e">
        <f>SUM('Income Statement UAV'!L45,#REF!,#REF!)</f>
        <v>#REF!</v>
      </c>
      <c r="M45" s="3" t="e">
        <f>SUM('Income Statement UAV'!M45,#REF!,#REF!)</f>
        <v>#REF!</v>
      </c>
      <c r="N45" s="3" t="e">
        <f>SUM('Income Statement UAV'!N45,#REF!,#REF!)</f>
        <v>#REF!</v>
      </c>
      <c r="O45" s="3" t="e">
        <f>SUM('Income Statement UAV'!O45,#REF!,#REF!)</f>
        <v>#REF!</v>
      </c>
      <c r="P45" s="3" t="e">
        <f>SUM('Income Statement UAV'!P45,#REF!,#REF!)</f>
        <v>#REF!</v>
      </c>
      <c r="Q45" s="16" t="e">
        <f>SUM('Income Statement UAV'!Q45,#REF!,#REF!)</f>
        <v>#REF!</v>
      </c>
    </row>
    <row r="46" spans="2:17" hidden="1" outlineLevel="1" x14ac:dyDescent="0.35">
      <c r="B46" s="17" t="s">
        <v>34</v>
      </c>
      <c r="C46" s="58"/>
      <c r="D46" s="76" t="e">
        <f>SUM('Income Statement UAV'!D46,#REF!,#REF!)</f>
        <v>#REF!</v>
      </c>
      <c r="E46" s="3" t="e">
        <f>SUM('Income Statement UAV'!E46,#REF!,#REF!)</f>
        <v>#REF!</v>
      </c>
      <c r="F46" s="3" t="e">
        <f>SUM('Income Statement UAV'!F46,#REF!,#REF!)</f>
        <v>#REF!</v>
      </c>
      <c r="G46" s="3" t="e">
        <f>SUM('Income Statement UAV'!G46,#REF!,#REF!)</f>
        <v>#REF!</v>
      </c>
      <c r="H46" s="16" t="e">
        <f>SUM('Income Statement UAV'!H46,#REF!,#REF!)</f>
        <v>#REF!</v>
      </c>
      <c r="I46" s="65" t="e">
        <f>SUM('Income Statement UAV'!I46,#REF!,#REF!)</f>
        <v>#REF!</v>
      </c>
      <c r="J46" s="3" t="e">
        <f>SUM('Income Statement UAV'!J46,#REF!,#REF!)</f>
        <v>#REF!</v>
      </c>
      <c r="K46" s="3" t="e">
        <f>SUM('Income Statement UAV'!K46,#REF!,#REF!)</f>
        <v>#REF!</v>
      </c>
      <c r="L46" s="3" t="e">
        <f>SUM('Income Statement UAV'!L46,#REF!,#REF!)</f>
        <v>#REF!</v>
      </c>
      <c r="M46" s="3" t="e">
        <f>SUM('Income Statement UAV'!M46,#REF!,#REF!)</f>
        <v>#REF!</v>
      </c>
      <c r="N46" s="3" t="e">
        <f>SUM('Income Statement UAV'!N46,#REF!,#REF!)</f>
        <v>#REF!</v>
      </c>
      <c r="O46" s="3" t="e">
        <f>SUM('Income Statement UAV'!O46,#REF!,#REF!)</f>
        <v>#REF!</v>
      </c>
      <c r="P46" s="3" t="e">
        <f>SUM('Income Statement UAV'!P46,#REF!,#REF!)</f>
        <v>#REF!</v>
      </c>
      <c r="Q46" s="16" t="e">
        <f>SUM('Income Statement UAV'!Q46,#REF!,#REF!)</f>
        <v>#REF!</v>
      </c>
    </row>
    <row r="47" spans="2:17" hidden="1" outlineLevel="1" x14ac:dyDescent="0.35">
      <c r="B47" s="17" t="s">
        <v>35</v>
      </c>
      <c r="C47" s="58"/>
      <c r="D47" s="76" t="e">
        <f>SUM('Income Statement UAV'!D47,#REF!,#REF!)</f>
        <v>#REF!</v>
      </c>
      <c r="E47" s="3" t="e">
        <f>SUM('Income Statement UAV'!E47,#REF!,#REF!)</f>
        <v>#REF!</v>
      </c>
      <c r="F47" s="3" t="e">
        <f>SUM('Income Statement UAV'!F47,#REF!,#REF!)</f>
        <v>#REF!</v>
      </c>
      <c r="G47" s="3" t="e">
        <f>SUM('Income Statement UAV'!G47,#REF!,#REF!)</f>
        <v>#REF!</v>
      </c>
      <c r="H47" s="16" t="e">
        <f>SUM('Income Statement UAV'!H47,#REF!,#REF!)</f>
        <v>#REF!</v>
      </c>
      <c r="I47" s="65" t="e">
        <f>SUM('Income Statement UAV'!I47,#REF!,#REF!)</f>
        <v>#REF!</v>
      </c>
      <c r="J47" s="3" t="e">
        <f>SUM('Income Statement UAV'!J47,#REF!,#REF!)</f>
        <v>#REF!</v>
      </c>
      <c r="K47" s="3" t="e">
        <f>SUM('Income Statement UAV'!K47,#REF!,#REF!)</f>
        <v>#REF!</v>
      </c>
      <c r="L47" s="3" t="e">
        <f>SUM('Income Statement UAV'!L47,#REF!,#REF!)</f>
        <v>#REF!</v>
      </c>
      <c r="M47" s="3" t="e">
        <f>SUM('Income Statement UAV'!M47,#REF!,#REF!)</f>
        <v>#REF!</v>
      </c>
      <c r="N47" s="3" t="e">
        <f>SUM('Income Statement UAV'!N47,#REF!,#REF!)</f>
        <v>#REF!</v>
      </c>
      <c r="O47" s="3" t="e">
        <f>SUM('Income Statement UAV'!O47,#REF!,#REF!)</f>
        <v>#REF!</v>
      </c>
      <c r="P47" s="3" t="e">
        <f>SUM('Income Statement UAV'!P47,#REF!,#REF!)</f>
        <v>#REF!</v>
      </c>
      <c r="Q47" s="16" t="e">
        <f>SUM('Income Statement UAV'!Q47,#REF!,#REF!)</f>
        <v>#REF!</v>
      </c>
    </row>
    <row r="48" spans="2:17" hidden="1" outlineLevel="1" x14ac:dyDescent="0.35">
      <c r="B48" s="17" t="s">
        <v>64</v>
      </c>
      <c r="C48" s="58"/>
      <c r="D48" s="76" t="e">
        <f>SUM('Income Statement UAV'!D48,#REF!,#REF!)</f>
        <v>#REF!</v>
      </c>
      <c r="E48" s="3" t="e">
        <f>SUM('Income Statement UAV'!E48,#REF!,#REF!)</f>
        <v>#REF!</v>
      </c>
      <c r="F48" s="3" t="e">
        <f>SUM('Income Statement UAV'!F48,#REF!,#REF!)</f>
        <v>#REF!</v>
      </c>
      <c r="G48" s="3" t="e">
        <f>SUM('Income Statement UAV'!G48,#REF!,#REF!)</f>
        <v>#REF!</v>
      </c>
      <c r="H48" s="16" t="e">
        <f>SUM('Income Statement UAV'!H48,#REF!,#REF!)</f>
        <v>#REF!</v>
      </c>
      <c r="I48" s="65" t="e">
        <f>SUM('Income Statement UAV'!I48,#REF!,#REF!)</f>
        <v>#REF!</v>
      </c>
      <c r="J48" s="3" t="e">
        <f>SUM('Income Statement UAV'!J48,#REF!,#REF!)</f>
        <v>#REF!</v>
      </c>
      <c r="K48" s="3" t="e">
        <f>SUM('Income Statement UAV'!K48,#REF!,#REF!)</f>
        <v>#REF!</v>
      </c>
      <c r="L48" s="3" t="e">
        <f>SUM('Income Statement UAV'!L48,#REF!,#REF!)</f>
        <v>#REF!</v>
      </c>
      <c r="M48" s="3" t="e">
        <f>SUM('Income Statement UAV'!M48,#REF!,#REF!)</f>
        <v>#REF!</v>
      </c>
      <c r="N48" s="3" t="e">
        <f>SUM('Income Statement UAV'!N48,#REF!,#REF!)</f>
        <v>#REF!</v>
      </c>
      <c r="O48" s="3" t="e">
        <f>SUM('Income Statement UAV'!O48,#REF!,#REF!)</f>
        <v>#REF!</v>
      </c>
      <c r="P48" s="3" t="e">
        <f>SUM('Income Statement UAV'!P48,#REF!,#REF!)</f>
        <v>#REF!</v>
      </c>
      <c r="Q48" s="16" t="e">
        <f>SUM('Income Statement UAV'!Q48,#REF!,#REF!)</f>
        <v>#REF!</v>
      </c>
    </row>
    <row r="49" spans="2:17" hidden="1" outlineLevel="1" x14ac:dyDescent="0.35">
      <c r="B49" s="17" t="s">
        <v>36</v>
      </c>
      <c r="C49" s="58"/>
      <c r="D49" s="76" t="e">
        <f>SUM('Income Statement UAV'!D49,#REF!,#REF!)</f>
        <v>#REF!</v>
      </c>
      <c r="E49" s="3" t="e">
        <f>SUM('Income Statement UAV'!E49,#REF!,#REF!)</f>
        <v>#REF!</v>
      </c>
      <c r="F49" s="3" t="e">
        <f>SUM('Income Statement UAV'!F49,#REF!,#REF!)</f>
        <v>#REF!</v>
      </c>
      <c r="G49" s="3" t="e">
        <f>SUM('Income Statement UAV'!G49,#REF!,#REF!)</f>
        <v>#REF!</v>
      </c>
      <c r="H49" s="16" t="e">
        <f>SUM('Income Statement UAV'!H49,#REF!,#REF!)</f>
        <v>#REF!</v>
      </c>
      <c r="I49" s="65" t="e">
        <f>SUM('Income Statement UAV'!I49,#REF!,#REF!)</f>
        <v>#REF!</v>
      </c>
      <c r="J49" s="3" t="e">
        <f>SUM('Income Statement UAV'!J49,#REF!,#REF!)</f>
        <v>#REF!</v>
      </c>
      <c r="K49" s="3" t="e">
        <f>SUM('Income Statement UAV'!K49,#REF!,#REF!)</f>
        <v>#REF!</v>
      </c>
      <c r="L49" s="3" t="e">
        <f>SUM('Income Statement UAV'!L49,#REF!,#REF!)</f>
        <v>#REF!</v>
      </c>
      <c r="M49" s="3" t="e">
        <f>SUM('Income Statement UAV'!M49,#REF!,#REF!)</f>
        <v>#REF!</v>
      </c>
      <c r="N49" s="3" t="e">
        <f>SUM('Income Statement UAV'!N49,#REF!,#REF!)</f>
        <v>#REF!</v>
      </c>
      <c r="O49" s="3" t="e">
        <f>SUM('Income Statement UAV'!O49,#REF!,#REF!)</f>
        <v>#REF!</v>
      </c>
      <c r="P49" s="3" t="e">
        <f>SUM('Income Statement UAV'!P49,#REF!,#REF!)</f>
        <v>#REF!</v>
      </c>
      <c r="Q49" s="16" t="e">
        <f>SUM('Income Statement UAV'!Q49,#REF!,#REF!)</f>
        <v>#REF!</v>
      </c>
    </row>
    <row r="50" spans="2:17" hidden="1" outlineLevel="1" x14ac:dyDescent="0.35">
      <c r="B50" s="17" t="s">
        <v>37</v>
      </c>
      <c r="C50" s="58"/>
      <c r="D50" s="76" t="e">
        <f>SUM('Income Statement UAV'!D50,#REF!,#REF!)</f>
        <v>#REF!</v>
      </c>
      <c r="E50" s="3" t="e">
        <f>SUM('Income Statement UAV'!E50,#REF!,#REF!)</f>
        <v>#REF!</v>
      </c>
      <c r="F50" s="3" t="e">
        <f>SUM('Income Statement UAV'!F50,#REF!,#REF!)</f>
        <v>#REF!</v>
      </c>
      <c r="G50" s="3" t="e">
        <f>SUM('Income Statement UAV'!G50,#REF!,#REF!)</f>
        <v>#REF!</v>
      </c>
      <c r="H50" s="16" t="e">
        <f>SUM('Income Statement UAV'!H50,#REF!,#REF!)</f>
        <v>#REF!</v>
      </c>
      <c r="I50" s="65" t="e">
        <f>SUM('Income Statement UAV'!I50,#REF!,#REF!)</f>
        <v>#REF!</v>
      </c>
      <c r="J50" s="3" t="e">
        <f>SUM('Income Statement UAV'!J50,#REF!,#REF!)</f>
        <v>#REF!</v>
      </c>
      <c r="K50" s="3" t="e">
        <f>SUM('Income Statement UAV'!K50,#REF!,#REF!)</f>
        <v>#REF!</v>
      </c>
      <c r="L50" s="3" t="e">
        <f>SUM('Income Statement UAV'!L50,#REF!,#REF!)</f>
        <v>#REF!</v>
      </c>
      <c r="M50" s="3" t="e">
        <f>SUM('Income Statement UAV'!M50,#REF!,#REF!)</f>
        <v>#REF!</v>
      </c>
      <c r="N50" s="3" t="e">
        <f>SUM('Income Statement UAV'!N50,#REF!,#REF!)</f>
        <v>#REF!</v>
      </c>
      <c r="O50" s="3" t="e">
        <f>SUM('Income Statement UAV'!O50,#REF!,#REF!)</f>
        <v>#REF!</v>
      </c>
      <c r="P50" s="3" t="e">
        <f>SUM('Income Statement UAV'!P50,#REF!,#REF!)</f>
        <v>#REF!</v>
      </c>
      <c r="Q50" s="16" t="e">
        <f>SUM('Income Statement UAV'!Q50,#REF!,#REF!)</f>
        <v>#REF!</v>
      </c>
    </row>
    <row r="51" spans="2:17" hidden="1" outlineLevel="1" x14ac:dyDescent="0.35">
      <c r="B51" s="17" t="s">
        <v>38</v>
      </c>
      <c r="C51" s="58"/>
      <c r="D51" s="76" t="e">
        <f>SUM('Income Statement UAV'!D51,#REF!,#REF!)</f>
        <v>#REF!</v>
      </c>
      <c r="E51" s="3" t="e">
        <f>SUM('Income Statement UAV'!E51,#REF!,#REF!)</f>
        <v>#REF!</v>
      </c>
      <c r="F51" s="3" t="e">
        <f>SUM('Income Statement UAV'!F51,#REF!,#REF!)</f>
        <v>#REF!</v>
      </c>
      <c r="G51" s="3" t="e">
        <f>SUM('Income Statement UAV'!G51,#REF!,#REF!)</f>
        <v>#REF!</v>
      </c>
      <c r="H51" s="16" t="e">
        <f>SUM('Income Statement UAV'!H51,#REF!,#REF!)</f>
        <v>#REF!</v>
      </c>
      <c r="I51" s="65" t="e">
        <f>SUM('Income Statement UAV'!I51,#REF!,#REF!)</f>
        <v>#REF!</v>
      </c>
      <c r="J51" s="3" t="e">
        <f>SUM('Income Statement UAV'!J51,#REF!,#REF!)</f>
        <v>#REF!</v>
      </c>
      <c r="K51" s="3" t="e">
        <f>SUM('Income Statement UAV'!K51,#REF!,#REF!)</f>
        <v>#REF!</v>
      </c>
      <c r="L51" s="3" t="e">
        <f>SUM('Income Statement UAV'!L51,#REF!,#REF!)</f>
        <v>#REF!</v>
      </c>
      <c r="M51" s="3" t="e">
        <f>SUM('Income Statement UAV'!M51,#REF!,#REF!)</f>
        <v>#REF!</v>
      </c>
      <c r="N51" s="3" t="e">
        <f>SUM('Income Statement UAV'!N51,#REF!,#REF!)</f>
        <v>#REF!</v>
      </c>
      <c r="O51" s="3" t="e">
        <f>SUM('Income Statement UAV'!O51,#REF!,#REF!)</f>
        <v>#REF!</v>
      </c>
      <c r="P51" s="3" t="e">
        <f>SUM('Income Statement UAV'!P51,#REF!,#REF!)</f>
        <v>#REF!</v>
      </c>
      <c r="Q51" s="16" t="e">
        <f>SUM('Income Statement UAV'!Q51,#REF!,#REF!)</f>
        <v>#REF!</v>
      </c>
    </row>
    <row r="52" spans="2:17" hidden="1" outlineLevel="1" x14ac:dyDescent="0.35">
      <c r="B52" s="17" t="s">
        <v>39</v>
      </c>
      <c r="C52" s="58"/>
      <c r="D52" s="76" t="e">
        <f>SUM('Income Statement UAV'!D52,#REF!,#REF!)</f>
        <v>#REF!</v>
      </c>
      <c r="E52" s="3" t="e">
        <f>SUM('Income Statement UAV'!E52,#REF!,#REF!)</f>
        <v>#REF!</v>
      </c>
      <c r="F52" s="3" t="e">
        <f>SUM('Income Statement UAV'!F52,#REF!,#REF!)</f>
        <v>#REF!</v>
      </c>
      <c r="G52" s="3" t="e">
        <f>SUM('Income Statement UAV'!G52,#REF!,#REF!)</f>
        <v>#REF!</v>
      </c>
      <c r="H52" s="16" t="e">
        <f>SUM('Income Statement UAV'!H52,#REF!,#REF!)</f>
        <v>#REF!</v>
      </c>
      <c r="I52" s="65" t="e">
        <f>SUM('Income Statement UAV'!I52,#REF!,#REF!)</f>
        <v>#REF!</v>
      </c>
      <c r="J52" s="3" t="e">
        <f>SUM('Income Statement UAV'!J52,#REF!,#REF!)</f>
        <v>#REF!</v>
      </c>
      <c r="K52" s="3" t="e">
        <f>SUM('Income Statement UAV'!K52,#REF!,#REF!)</f>
        <v>#REF!</v>
      </c>
      <c r="L52" s="3" t="e">
        <f>SUM('Income Statement UAV'!L52,#REF!,#REF!)</f>
        <v>#REF!</v>
      </c>
      <c r="M52" s="3" t="e">
        <f>SUM('Income Statement UAV'!M52,#REF!,#REF!)</f>
        <v>#REF!</v>
      </c>
      <c r="N52" s="3" t="e">
        <f>SUM('Income Statement UAV'!N52,#REF!,#REF!)</f>
        <v>#REF!</v>
      </c>
      <c r="O52" s="3" t="e">
        <f>SUM('Income Statement UAV'!O52,#REF!,#REF!)</f>
        <v>#REF!</v>
      </c>
      <c r="P52" s="3" t="e">
        <f>SUM('Income Statement UAV'!P52,#REF!,#REF!)</f>
        <v>#REF!</v>
      </c>
      <c r="Q52" s="16" t="e">
        <f>SUM('Income Statement UAV'!Q52,#REF!,#REF!)</f>
        <v>#REF!</v>
      </c>
    </row>
    <row r="53" spans="2:17" hidden="1" outlineLevel="1" x14ac:dyDescent="0.35">
      <c r="B53" s="17" t="s">
        <v>40</v>
      </c>
      <c r="C53" s="58"/>
      <c r="D53" s="76" t="e">
        <f>SUM('Income Statement UAV'!D53,#REF!,#REF!)</f>
        <v>#REF!</v>
      </c>
      <c r="E53" s="3" t="e">
        <f>SUM('Income Statement UAV'!E53,#REF!,#REF!)</f>
        <v>#REF!</v>
      </c>
      <c r="F53" s="3" t="e">
        <f>SUM('Income Statement UAV'!F53,#REF!,#REF!)</f>
        <v>#REF!</v>
      </c>
      <c r="G53" s="3" t="e">
        <f>SUM('Income Statement UAV'!G53,#REF!,#REF!)</f>
        <v>#REF!</v>
      </c>
      <c r="H53" s="16" t="e">
        <f>SUM('Income Statement UAV'!H53,#REF!,#REF!)</f>
        <v>#REF!</v>
      </c>
      <c r="I53" s="65" t="e">
        <f>SUM('Income Statement UAV'!I53,#REF!,#REF!)</f>
        <v>#REF!</v>
      </c>
      <c r="J53" s="3" t="e">
        <f>SUM('Income Statement UAV'!J53,#REF!,#REF!)</f>
        <v>#REF!</v>
      </c>
      <c r="K53" s="3" t="e">
        <f>SUM('Income Statement UAV'!K53,#REF!,#REF!)</f>
        <v>#REF!</v>
      </c>
      <c r="L53" s="3" t="e">
        <f>SUM('Income Statement UAV'!L53,#REF!,#REF!)</f>
        <v>#REF!</v>
      </c>
      <c r="M53" s="3" t="e">
        <f>SUM('Income Statement UAV'!M53,#REF!,#REF!)</f>
        <v>#REF!</v>
      </c>
      <c r="N53" s="3" t="e">
        <f>SUM('Income Statement UAV'!N53,#REF!,#REF!)</f>
        <v>#REF!</v>
      </c>
      <c r="O53" s="3" t="e">
        <f>SUM('Income Statement UAV'!O53,#REF!,#REF!)</f>
        <v>#REF!</v>
      </c>
      <c r="P53" s="3" t="e">
        <f>SUM('Income Statement UAV'!P53,#REF!,#REF!)</f>
        <v>#REF!</v>
      </c>
      <c r="Q53" s="16" t="e">
        <f>SUM('Income Statement UAV'!Q53,#REF!,#REF!)</f>
        <v>#REF!</v>
      </c>
    </row>
    <row r="54" spans="2:17" hidden="1" outlineLevel="1" x14ac:dyDescent="0.35">
      <c r="B54" s="17" t="s">
        <v>11</v>
      </c>
      <c r="C54" s="58"/>
      <c r="D54" s="76" t="e">
        <f>SUM('Income Statement UAV'!D54,#REF!,#REF!)</f>
        <v>#REF!</v>
      </c>
      <c r="E54" s="3" t="e">
        <f>SUM('Income Statement UAV'!E54,#REF!,#REF!)</f>
        <v>#REF!</v>
      </c>
      <c r="F54" s="3" t="e">
        <f>SUM('Income Statement UAV'!F54,#REF!,#REF!)</f>
        <v>#REF!</v>
      </c>
      <c r="G54" s="3" t="e">
        <f>SUM('Income Statement UAV'!G54,#REF!,#REF!)</f>
        <v>#REF!</v>
      </c>
      <c r="H54" s="16" t="e">
        <f>SUM('Income Statement UAV'!H54,#REF!,#REF!)</f>
        <v>#REF!</v>
      </c>
      <c r="I54" s="65" t="e">
        <f>SUM('Income Statement UAV'!I54,#REF!,#REF!)</f>
        <v>#REF!</v>
      </c>
      <c r="J54" s="3" t="e">
        <f>SUM('Income Statement UAV'!J54,#REF!,#REF!)</f>
        <v>#REF!</v>
      </c>
      <c r="K54" s="3" t="e">
        <f>SUM('Income Statement UAV'!K54,#REF!,#REF!)</f>
        <v>#REF!</v>
      </c>
      <c r="L54" s="3" t="e">
        <f>SUM('Income Statement UAV'!L54,#REF!,#REF!)</f>
        <v>#REF!</v>
      </c>
      <c r="M54" s="3" t="e">
        <f>SUM('Income Statement UAV'!M54,#REF!,#REF!)</f>
        <v>#REF!</v>
      </c>
      <c r="N54" s="3" t="e">
        <f>SUM('Income Statement UAV'!N54,#REF!,#REF!)</f>
        <v>#REF!</v>
      </c>
      <c r="O54" s="3" t="e">
        <f>SUM('Income Statement UAV'!O54,#REF!,#REF!)</f>
        <v>#REF!</v>
      </c>
      <c r="P54" s="3" t="e">
        <f>SUM('Income Statement UAV'!P54,#REF!,#REF!)</f>
        <v>#REF!</v>
      </c>
      <c r="Q54" s="16" t="e">
        <f>SUM('Income Statement UAV'!Q54,#REF!,#REF!)</f>
        <v>#REF!</v>
      </c>
    </row>
    <row r="55" spans="2:17" collapsed="1" x14ac:dyDescent="0.35">
      <c r="B55" s="41" t="s">
        <v>53</v>
      </c>
      <c r="C55" s="58"/>
      <c r="D55" s="76">
        <f>'Income Statement HSE VR'!D55+'Income Statement Education VR'!D55+'Income Statement UAV'!D55</f>
        <v>30400</v>
      </c>
      <c r="E55" s="3">
        <f>'Income Statement HSE VR'!E55+'Income Statement Education VR'!E55+'Income Statement UAV'!E55</f>
        <v>19900</v>
      </c>
      <c r="F55" s="3">
        <f>'Income Statement HSE VR'!F55+'Income Statement Education VR'!F55+'Income Statement UAV'!F55</f>
        <v>25500</v>
      </c>
      <c r="G55" s="3">
        <f>'Income Statement HSE VR'!G55+'Income Statement Education VR'!G55+'Income Statement UAV'!G55</f>
        <v>27600</v>
      </c>
      <c r="H55" s="16">
        <f>'Income Statement HSE VR'!H55+'Income Statement Education VR'!H55+'Income Statement UAV'!H55</f>
        <v>27600</v>
      </c>
      <c r="I55" s="65" t="e">
        <f>SUM('Income Statement UAV'!I55,#REF!,#REF!)</f>
        <v>#REF!</v>
      </c>
      <c r="J55" s="3" t="e">
        <f>SUM('Income Statement UAV'!J55,#REF!,#REF!)</f>
        <v>#REF!</v>
      </c>
      <c r="K55" s="3" t="e">
        <f>SUM('Income Statement UAV'!K55,#REF!,#REF!)</f>
        <v>#REF!</v>
      </c>
      <c r="L55" s="3" t="e">
        <f>SUM('Income Statement UAV'!L55,#REF!,#REF!)</f>
        <v>#REF!</v>
      </c>
      <c r="M55" s="3" t="e">
        <f>SUM('Income Statement UAV'!M55,#REF!,#REF!)</f>
        <v>#REF!</v>
      </c>
      <c r="N55" s="3" t="e">
        <f>SUM('Income Statement UAV'!N55,#REF!,#REF!)</f>
        <v>#REF!</v>
      </c>
      <c r="O55" s="3" t="e">
        <f>SUM('Income Statement UAV'!O55,#REF!,#REF!)</f>
        <v>#REF!</v>
      </c>
      <c r="P55" s="3" t="e">
        <f>SUM('Income Statement UAV'!P55,#REF!,#REF!)</f>
        <v>#REF!</v>
      </c>
      <c r="Q55" s="16" t="e">
        <f>SUM('Income Statement UAV'!Q55,#REF!,#REF!)</f>
        <v>#REF!</v>
      </c>
    </row>
    <row r="56" spans="2:17" x14ac:dyDescent="0.35">
      <c r="B56" s="41" t="s">
        <v>54</v>
      </c>
      <c r="C56" s="58"/>
      <c r="D56" s="76">
        <f>'Income Statement HSE VR'!D56+'Income Statement Education VR'!D56+'Income Statement UAV'!D56</f>
        <v>30400</v>
      </c>
      <c r="E56" s="3">
        <f>'Income Statement HSE VR'!E56+'Income Statement Education VR'!E56+'Income Statement UAV'!E56</f>
        <v>19900</v>
      </c>
      <c r="F56" s="3">
        <f>'Income Statement HSE VR'!F56+'Income Statement Education VR'!F56+'Income Statement UAV'!F56</f>
        <v>25500</v>
      </c>
      <c r="G56" s="3">
        <f>'Income Statement HSE VR'!G56+'Income Statement Education VR'!G56+'Income Statement UAV'!G56</f>
        <v>27600</v>
      </c>
      <c r="H56" s="16">
        <f>'Income Statement HSE VR'!H56+'Income Statement Education VR'!H56+'Income Statement UAV'!H56</f>
        <v>27600</v>
      </c>
      <c r="I56" s="65" t="e">
        <f>SUM('Income Statement UAV'!I56,#REF!,#REF!)</f>
        <v>#REF!</v>
      </c>
      <c r="J56" s="3" t="e">
        <f>SUM('Income Statement UAV'!J56,#REF!,#REF!)</f>
        <v>#REF!</v>
      </c>
      <c r="K56" s="3" t="e">
        <f>SUM('Income Statement UAV'!K56,#REF!,#REF!)</f>
        <v>#REF!</v>
      </c>
      <c r="L56" s="3" t="e">
        <f>SUM('Income Statement UAV'!L56,#REF!,#REF!)</f>
        <v>#REF!</v>
      </c>
      <c r="M56" s="3" t="e">
        <f>SUM('Income Statement UAV'!M56,#REF!,#REF!)</f>
        <v>#REF!</v>
      </c>
      <c r="N56" s="3" t="e">
        <f>SUM('Income Statement UAV'!N56,#REF!,#REF!)</f>
        <v>#REF!</v>
      </c>
      <c r="O56" s="3" t="e">
        <f>SUM('Income Statement UAV'!O56,#REF!,#REF!)</f>
        <v>#REF!</v>
      </c>
      <c r="P56" s="3" t="e">
        <f>SUM('Income Statement UAV'!P56,#REF!,#REF!)</f>
        <v>#REF!</v>
      </c>
      <c r="Q56" s="16" t="e">
        <f>SUM('Income Statement UAV'!Q56,#REF!,#REF!)</f>
        <v>#REF!</v>
      </c>
    </row>
    <row r="57" spans="2:17" ht="6" customHeight="1" x14ac:dyDescent="0.35">
      <c r="B57" s="22"/>
      <c r="C57" s="10"/>
      <c r="D57" s="79"/>
      <c r="E57" s="10"/>
      <c r="F57" s="10"/>
      <c r="G57" s="10"/>
      <c r="H57" s="23"/>
      <c r="I57" s="10"/>
      <c r="J57" s="10"/>
      <c r="K57" s="10"/>
      <c r="L57" s="10"/>
      <c r="M57" s="10"/>
      <c r="N57" s="10"/>
      <c r="O57" s="10"/>
      <c r="P57" s="10"/>
      <c r="Q57" s="23"/>
    </row>
    <row r="58" spans="2:17" x14ac:dyDescent="0.35">
      <c r="B58" s="40" t="s">
        <v>41</v>
      </c>
      <c r="C58" s="60"/>
      <c r="D58" s="80">
        <f t="shared" ref="D58:Q58" si="0">D21-D56</f>
        <v>7400</v>
      </c>
      <c r="E58" s="2">
        <f t="shared" si="0"/>
        <v>44700</v>
      </c>
      <c r="F58" s="2">
        <f t="shared" si="0"/>
        <v>81800</v>
      </c>
      <c r="G58" s="2">
        <f t="shared" si="0"/>
        <v>93800</v>
      </c>
      <c r="H58" s="20">
        <f t="shared" si="0"/>
        <v>118700</v>
      </c>
      <c r="I58" s="68" t="e">
        <f t="shared" si="0"/>
        <v>#REF!</v>
      </c>
      <c r="J58" s="2" t="e">
        <f t="shared" si="0"/>
        <v>#REF!</v>
      </c>
      <c r="K58" s="2" t="e">
        <f t="shared" si="0"/>
        <v>#REF!</v>
      </c>
      <c r="L58" s="2" t="e">
        <f t="shared" si="0"/>
        <v>#REF!</v>
      </c>
      <c r="M58" s="2" t="e">
        <f t="shared" si="0"/>
        <v>#REF!</v>
      </c>
      <c r="N58" s="2" t="e">
        <f t="shared" si="0"/>
        <v>#REF!</v>
      </c>
      <c r="O58" s="2" t="e">
        <f t="shared" si="0"/>
        <v>#REF!</v>
      </c>
      <c r="P58" s="2" t="e">
        <f t="shared" si="0"/>
        <v>#REF!</v>
      </c>
      <c r="Q58" s="20" t="e">
        <f t="shared" si="0"/>
        <v>#REF!</v>
      </c>
    </row>
    <row r="59" spans="2:17" x14ac:dyDescent="0.35">
      <c r="B59" s="41" t="s">
        <v>42</v>
      </c>
      <c r="C59" s="61"/>
      <c r="D59" s="81">
        <f t="shared" ref="D59:Q59" si="1">D58/D9</f>
        <v>0.17249417249417248</v>
      </c>
      <c r="E59" s="31">
        <f t="shared" si="1"/>
        <v>0.64131994261119085</v>
      </c>
      <c r="F59" s="31">
        <f t="shared" si="1"/>
        <v>0.72582076308784382</v>
      </c>
      <c r="G59" s="31">
        <f t="shared" si="1"/>
        <v>0.73974763406940058</v>
      </c>
      <c r="H59" s="32">
        <f t="shared" si="1"/>
        <v>0.78092105263157896</v>
      </c>
      <c r="I59" s="69" t="e">
        <f t="shared" si="1"/>
        <v>#REF!</v>
      </c>
      <c r="J59" s="31" t="e">
        <f t="shared" si="1"/>
        <v>#REF!</v>
      </c>
      <c r="K59" s="31" t="e">
        <f t="shared" si="1"/>
        <v>#REF!</v>
      </c>
      <c r="L59" s="31" t="e">
        <f t="shared" si="1"/>
        <v>#REF!</v>
      </c>
      <c r="M59" s="31" t="e">
        <f t="shared" si="1"/>
        <v>#REF!</v>
      </c>
      <c r="N59" s="31" t="e">
        <f t="shared" si="1"/>
        <v>#REF!</v>
      </c>
      <c r="O59" s="31" t="e">
        <f t="shared" si="1"/>
        <v>#REF!</v>
      </c>
      <c r="P59" s="31" t="e">
        <f t="shared" si="1"/>
        <v>#REF!</v>
      </c>
      <c r="Q59" s="32" t="e">
        <f t="shared" si="1"/>
        <v>#REF!</v>
      </c>
    </row>
    <row r="60" spans="2:17" ht="6" customHeight="1" x14ac:dyDescent="0.35">
      <c r="B60" s="22"/>
      <c r="C60" s="10"/>
      <c r="D60" s="79"/>
      <c r="E60" s="10"/>
      <c r="F60" s="10"/>
      <c r="G60" s="10"/>
      <c r="H60" s="23"/>
      <c r="I60" s="10"/>
      <c r="J60" s="10"/>
      <c r="K60" s="10"/>
      <c r="L60" s="10"/>
      <c r="M60" s="10"/>
      <c r="N60" s="10"/>
      <c r="O60" s="10"/>
      <c r="P60" s="10"/>
      <c r="Q60" s="23"/>
    </row>
    <row r="61" spans="2:17" x14ac:dyDescent="0.35">
      <c r="B61" s="41" t="s">
        <v>43</v>
      </c>
      <c r="C61" s="58"/>
      <c r="D61" s="76">
        <f>'Income Statement HSE VR'!D61+'Income Statement Education VR'!D61+'Income Statement UAV'!D61</f>
        <v>3166.666666666667</v>
      </c>
      <c r="E61" s="3">
        <f>'Income Statement HSE VR'!E61+'Income Statement Education VR'!E61+'Income Statement UAV'!E61</f>
        <v>4333.333333333333</v>
      </c>
      <c r="F61" s="3">
        <f>'Income Statement HSE VR'!F61+'Income Statement Education VR'!F61+'Income Statement UAV'!F61</f>
        <v>5500</v>
      </c>
      <c r="G61" s="3">
        <f>'Income Statement HSE VR'!G61+'Income Statement Education VR'!G61+'Income Statement UAV'!G61</f>
        <v>4333.333333333333</v>
      </c>
      <c r="H61" s="16">
        <f>'Income Statement HSE VR'!H61+'Income Statement Education VR'!H61+'Income Statement UAV'!H61</f>
        <v>4333.333333333333</v>
      </c>
      <c r="I61" s="65" t="e">
        <f>SUM('Income Statement UAV'!I61,#REF!,#REF!)</f>
        <v>#REF!</v>
      </c>
      <c r="J61" s="3" t="e">
        <f>SUM('Income Statement UAV'!J61,#REF!,#REF!)</f>
        <v>#REF!</v>
      </c>
      <c r="K61" s="3" t="e">
        <f>SUM('Income Statement UAV'!K61,#REF!,#REF!)</f>
        <v>#REF!</v>
      </c>
      <c r="L61" s="3" t="e">
        <f>SUM('Income Statement UAV'!L61,#REF!,#REF!)</f>
        <v>#REF!</v>
      </c>
      <c r="M61" s="3" t="e">
        <f>SUM('Income Statement UAV'!M61,#REF!,#REF!)</f>
        <v>#REF!</v>
      </c>
      <c r="N61" s="3" t="e">
        <f>SUM('Income Statement UAV'!N61,#REF!,#REF!)</f>
        <v>#REF!</v>
      </c>
      <c r="O61" s="3" t="e">
        <f>SUM('Income Statement UAV'!O61,#REF!,#REF!)</f>
        <v>#REF!</v>
      </c>
      <c r="P61" s="3" t="e">
        <f>SUM('Income Statement UAV'!P61,#REF!,#REF!)</f>
        <v>#REF!</v>
      </c>
      <c r="Q61" s="16" t="e">
        <f>SUM('Income Statement UAV'!Q61,#REF!,#REF!)</f>
        <v>#REF!</v>
      </c>
    </row>
    <row r="62" spans="2:17" hidden="1" x14ac:dyDescent="0.35">
      <c r="B62" s="41" t="s">
        <v>44</v>
      </c>
      <c r="C62" s="58"/>
      <c r="D62" s="76"/>
      <c r="E62" s="3"/>
      <c r="F62" s="3"/>
      <c r="G62" s="3"/>
      <c r="H62" s="16"/>
      <c r="I62" s="65"/>
      <c r="J62" s="3"/>
      <c r="K62" s="3"/>
      <c r="L62" s="3"/>
      <c r="M62" s="3"/>
      <c r="N62" s="3"/>
      <c r="O62" s="3"/>
      <c r="P62" s="3"/>
      <c r="Q62" s="16"/>
    </row>
    <row r="63" spans="2:17" ht="6" customHeight="1" x14ac:dyDescent="0.35">
      <c r="B63" s="22"/>
      <c r="C63" s="10"/>
      <c r="D63" s="79"/>
      <c r="E63" s="10"/>
      <c r="F63" s="10"/>
      <c r="G63" s="10"/>
      <c r="H63" s="23"/>
      <c r="I63" s="10"/>
      <c r="J63" s="10"/>
      <c r="K63" s="10"/>
      <c r="L63" s="10"/>
      <c r="M63" s="10"/>
      <c r="N63" s="10"/>
      <c r="O63" s="10"/>
      <c r="P63" s="10"/>
      <c r="Q63" s="23"/>
    </row>
    <row r="64" spans="2:17" x14ac:dyDescent="0.35">
      <c r="B64" s="42" t="s">
        <v>45</v>
      </c>
      <c r="C64" s="60"/>
      <c r="D64" s="82">
        <f>D58-D61</f>
        <v>4233.333333333333</v>
      </c>
      <c r="E64" s="6">
        <f t="shared" ref="E64:Q64" si="2">E58-E61</f>
        <v>40366.666666666664</v>
      </c>
      <c r="F64" s="6">
        <f t="shared" si="2"/>
        <v>76300</v>
      </c>
      <c r="G64" s="6">
        <f t="shared" si="2"/>
        <v>89466.666666666672</v>
      </c>
      <c r="H64" s="24">
        <f t="shared" si="2"/>
        <v>114366.66666666667</v>
      </c>
      <c r="I64" s="70" t="e">
        <f t="shared" si="2"/>
        <v>#REF!</v>
      </c>
      <c r="J64" s="6" t="e">
        <f t="shared" si="2"/>
        <v>#REF!</v>
      </c>
      <c r="K64" s="6" t="e">
        <f t="shared" si="2"/>
        <v>#REF!</v>
      </c>
      <c r="L64" s="6" t="e">
        <f t="shared" si="2"/>
        <v>#REF!</v>
      </c>
      <c r="M64" s="6" t="e">
        <f t="shared" si="2"/>
        <v>#REF!</v>
      </c>
      <c r="N64" s="6" t="e">
        <f t="shared" si="2"/>
        <v>#REF!</v>
      </c>
      <c r="O64" s="6" t="e">
        <f t="shared" si="2"/>
        <v>#REF!</v>
      </c>
      <c r="P64" s="6" t="e">
        <f t="shared" si="2"/>
        <v>#REF!</v>
      </c>
      <c r="Q64" s="24" t="e">
        <f t="shared" si="2"/>
        <v>#REF!</v>
      </c>
    </row>
    <row r="65" spans="2:17" x14ac:dyDescent="0.35">
      <c r="B65" s="41" t="s">
        <v>55</v>
      </c>
      <c r="C65" s="60"/>
      <c r="D65" s="83">
        <f t="shared" ref="D65:Q65" si="3">IFERROR(D64/D$9,"NA")</f>
        <v>9.8679098679098673E-2</v>
      </c>
      <c r="E65" s="33">
        <f t="shared" si="3"/>
        <v>0.57914873266379718</v>
      </c>
      <c r="F65" s="33">
        <f t="shared" si="3"/>
        <v>0.67701863354037262</v>
      </c>
      <c r="G65" s="33">
        <f t="shared" si="3"/>
        <v>0.70557308096740279</v>
      </c>
      <c r="H65" s="34">
        <f t="shared" si="3"/>
        <v>0.75241228070175437</v>
      </c>
      <c r="I65" s="71" t="str">
        <f t="shared" si="3"/>
        <v>NA</v>
      </c>
      <c r="J65" s="33" t="str">
        <f t="shared" si="3"/>
        <v>NA</v>
      </c>
      <c r="K65" s="33" t="str">
        <f t="shared" si="3"/>
        <v>NA</v>
      </c>
      <c r="L65" s="33" t="str">
        <f t="shared" si="3"/>
        <v>NA</v>
      </c>
      <c r="M65" s="33" t="str">
        <f t="shared" si="3"/>
        <v>NA</v>
      </c>
      <c r="N65" s="33" t="str">
        <f t="shared" si="3"/>
        <v>NA</v>
      </c>
      <c r="O65" s="33" t="str">
        <f t="shared" si="3"/>
        <v>NA</v>
      </c>
      <c r="P65" s="33" t="str">
        <f t="shared" si="3"/>
        <v>NA</v>
      </c>
      <c r="Q65" s="34" t="str">
        <f t="shared" si="3"/>
        <v>NA</v>
      </c>
    </row>
    <row r="66" spans="2:17" x14ac:dyDescent="0.35">
      <c r="B66" s="25" t="s">
        <v>68</v>
      </c>
      <c r="C66" s="60"/>
      <c r="D66" s="84">
        <f>'Income Statement HSE VR'!D66+'Income Statement Education VR'!D66+'Income Statement UAV'!D66</f>
        <v>169</v>
      </c>
      <c r="E66" s="5">
        <f>'Income Statement HSE VR'!E66+'Income Statement Education VR'!E66+'Income Statement UAV'!E66</f>
        <v>1211</v>
      </c>
      <c r="F66" s="5">
        <f>'Income Statement HSE VR'!F66+'Income Statement Education VR'!F66+'Income Statement UAV'!F66</f>
        <v>2289</v>
      </c>
      <c r="G66" s="5">
        <f>'Income Statement HSE VR'!G66+'Income Statement Education VR'!G66+'Income Statement UAV'!G66</f>
        <v>2683.9999999999995</v>
      </c>
      <c r="H66" s="26">
        <f>'Income Statement HSE VR'!H66+'Income Statement Education VR'!H66+'Income Statement UAV'!H66</f>
        <v>3430.9999999999995</v>
      </c>
      <c r="I66" s="72" t="e">
        <f t="shared" ref="I66:Q66" si="4">I64*15%</f>
        <v>#REF!</v>
      </c>
      <c r="J66" s="5" t="e">
        <f t="shared" si="4"/>
        <v>#REF!</v>
      </c>
      <c r="K66" s="5" t="e">
        <f t="shared" si="4"/>
        <v>#REF!</v>
      </c>
      <c r="L66" s="5" t="e">
        <f t="shared" si="4"/>
        <v>#REF!</v>
      </c>
      <c r="M66" s="5" t="e">
        <f t="shared" si="4"/>
        <v>#REF!</v>
      </c>
      <c r="N66" s="5" t="e">
        <f t="shared" si="4"/>
        <v>#REF!</v>
      </c>
      <c r="O66" s="5" t="e">
        <f t="shared" si="4"/>
        <v>#REF!</v>
      </c>
      <c r="P66" s="5" t="e">
        <f t="shared" si="4"/>
        <v>#REF!</v>
      </c>
      <c r="Q66" s="26" t="e">
        <f t="shared" si="4"/>
        <v>#REF!</v>
      </c>
    </row>
    <row r="67" spans="2:17" ht="15.5" x14ac:dyDescent="0.35">
      <c r="B67" s="15" t="s">
        <v>134</v>
      </c>
      <c r="C67" s="58"/>
      <c r="D67" s="98">
        <f>D64-D66</f>
        <v>4064.333333333333</v>
      </c>
      <c r="E67" s="99">
        <f t="shared" ref="E67:Q67" si="5">E64-E66</f>
        <v>39155.666666666664</v>
      </c>
      <c r="F67" s="99">
        <f t="shared" si="5"/>
        <v>74011</v>
      </c>
      <c r="G67" s="99">
        <f t="shared" si="5"/>
        <v>86782.666666666672</v>
      </c>
      <c r="H67" s="100">
        <f t="shared" si="5"/>
        <v>110935.66666666667</v>
      </c>
      <c r="I67" s="65" t="e">
        <f t="shared" si="5"/>
        <v>#REF!</v>
      </c>
      <c r="J67" s="3" t="e">
        <f t="shared" si="5"/>
        <v>#REF!</v>
      </c>
      <c r="K67" s="3" t="e">
        <f t="shared" si="5"/>
        <v>#REF!</v>
      </c>
      <c r="L67" s="3" t="e">
        <f t="shared" si="5"/>
        <v>#REF!</v>
      </c>
      <c r="M67" s="3" t="e">
        <f t="shared" si="5"/>
        <v>#REF!</v>
      </c>
      <c r="N67" s="3" t="e">
        <f t="shared" si="5"/>
        <v>#REF!</v>
      </c>
      <c r="O67" s="3" t="e">
        <f t="shared" si="5"/>
        <v>#REF!</v>
      </c>
      <c r="P67" s="3" t="e">
        <f t="shared" si="5"/>
        <v>#REF!</v>
      </c>
      <c r="Q67" s="16" t="e">
        <f t="shared" si="5"/>
        <v>#REF!</v>
      </c>
    </row>
    <row r="68" spans="2:17" x14ac:dyDescent="0.35">
      <c r="B68" s="43" t="s">
        <v>67</v>
      </c>
      <c r="C68" s="62"/>
      <c r="D68" s="85">
        <f t="shared" ref="D68:Q68" si="6">D67/D9</f>
        <v>9.4739704739704736E-2</v>
      </c>
      <c r="E68" s="11">
        <f t="shared" si="6"/>
        <v>0.5617742706838833</v>
      </c>
      <c r="F68" s="11">
        <f t="shared" si="6"/>
        <v>0.65670807453416147</v>
      </c>
      <c r="G68" s="11">
        <f t="shared" si="6"/>
        <v>0.68440588853838069</v>
      </c>
      <c r="H68" s="27">
        <f t="shared" si="6"/>
        <v>0.72983991228070177</v>
      </c>
      <c r="I68" s="73" t="e">
        <f t="shared" si="6"/>
        <v>#REF!</v>
      </c>
      <c r="J68" s="11" t="e">
        <f t="shared" si="6"/>
        <v>#REF!</v>
      </c>
      <c r="K68" s="11" t="e">
        <f t="shared" si="6"/>
        <v>#REF!</v>
      </c>
      <c r="L68" s="11" t="e">
        <f t="shared" si="6"/>
        <v>#REF!</v>
      </c>
      <c r="M68" s="11" t="e">
        <f t="shared" si="6"/>
        <v>#REF!</v>
      </c>
      <c r="N68" s="11" t="e">
        <f t="shared" si="6"/>
        <v>#REF!</v>
      </c>
      <c r="O68" s="11" t="e">
        <f t="shared" si="6"/>
        <v>#REF!</v>
      </c>
      <c r="P68" s="11" t="e">
        <f t="shared" si="6"/>
        <v>#REF!</v>
      </c>
      <c r="Q68" s="27" t="e">
        <f t="shared" si="6"/>
        <v>#REF!</v>
      </c>
    </row>
    <row r="69" spans="2:17" ht="15.5" hidden="1" x14ac:dyDescent="0.35">
      <c r="B69" s="19" t="s">
        <v>46</v>
      </c>
      <c r="C69" s="63"/>
      <c r="D69" s="86">
        <f>D67</f>
        <v>4064.333333333333</v>
      </c>
      <c r="E69" s="35">
        <f t="shared" ref="E69:Q69" si="7">D69+E67</f>
        <v>43220</v>
      </c>
      <c r="F69" s="35">
        <f t="shared" si="7"/>
        <v>117231</v>
      </c>
      <c r="G69" s="35">
        <f t="shared" si="7"/>
        <v>204013.66666666669</v>
      </c>
      <c r="H69" s="37">
        <f t="shared" si="7"/>
        <v>314949.33333333337</v>
      </c>
      <c r="I69" s="74" t="e">
        <f t="shared" si="7"/>
        <v>#REF!</v>
      </c>
      <c r="J69" s="36" t="e">
        <f t="shared" si="7"/>
        <v>#REF!</v>
      </c>
      <c r="K69" s="36" t="e">
        <f t="shared" si="7"/>
        <v>#REF!</v>
      </c>
      <c r="L69" s="36" t="e">
        <f t="shared" si="7"/>
        <v>#REF!</v>
      </c>
      <c r="M69" s="36" t="e">
        <f t="shared" si="7"/>
        <v>#REF!</v>
      </c>
      <c r="N69" s="36" t="e">
        <f t="shared" si="7"/>
        <v>#REF!</v>
      </c>
      <c r="O69" s="36" t="e">
        <f t="shared" si="7"/>
        <v>#REF!</v>
      </c>
      <c r="P69" s="36" t="e">
        <f t="shared" si="7"/>
        <v>#REF!</v>
      </c>
      <c r="Q69" s="37" t="e">
        <f t="shared" si="7"/>
        <v>#REF!</v>
      </c>
    </row>
    <row r="70" spans="2:17" ht="6" customHeight="1" thickBot="1" x14ac:dyDescent="0.4">
      <c r="B70" s="28"/>
      <c r="C70" s="29"/>
      <c r="D70" s="87"/>
      <c r="E70" s="29"/>
      <c r="F70" s="29"/>
      <c r="G70" s="29"/>
      <c r="H70" s="30"/>
      <c r="I70" s="29"/>
      <c r="J70" s="29"/>
      <c r="K70" s="29"/>
      <c r="L70" s="29"/>
      <c r="M70" s="29"/>
      <c r="N70" s="29"/>
      <c r="O70" s="29"/>
      <c r="P70" s="29"/>
      <c r="Q70" s="30"/>
    </row>
    <row r="72" spans="2:17" hidden="1" x14ac:dyDescent="0.35"/>
    <row r="73" spans="2:17" hidden="1" x14ac:dyDescent="0.35">
      <c r="B73" s="4" t="s">
        <v>66</v>
      </c>
      <c r="D73">
        <v>1</v>
      </c>
      <c r="E73">
        <v>2</v>
      </c>
      <c r="F73">
        <v>3</v>
      </c>
      <c r="G73">
        <v>4</v>
      </c>
      <c r="H73">
        <v>5</v>
      </c>
    </row>
    <row r="74" spans="2:17" outlineLevel="1" x14ac:dyDescent="0.35">
      <c r="B74" s="4" t="s">
        <v>131</v>
      </c>
      <c r="C74" s="1"/>
      <c r="D74" s="3">
        <f>'Income Statement HSE VR'!D74+'Income Statement Education VR'!D74+'Income Statement UAV'!D74</f>
        <v>9500</v>
      </c>
      <c r="E74" s="3">
        <f>'Income Statement HSE VR'!E74+'Income Statement Education VR'!E74+'Income Statement UAV'!E74</f>
        <v>3500</v>
      </c>
      <c r="F74" s="3">
        <f>'Income Statement HSE VR'!F74+'Income Statement Education VR'!F74+'Income Statement UAV'!F74</f>
        <v>3500</v>
      </c>
      <c r="G74" s="3">
        <f>'Income Statement HSE VR'!G74+'Income Statement Education VR'!G74+'Income Statement UAV'!G74</f>
        <v>6000</v>
      </c>
      <c r="H74" s="3">
        <f>'Income Statement HSE VR'!H74+'Income Statement Education VR'!H74+'Income Statement UAV'!H74</f>
        <v>3500</v>
      </c>
      <c r="I74" s="3"/>
      <c r="J74" s="3"/>
      <c r="K74" s="3"/>
      <c r="L74" s="3"/>
      <c r="M74" s="3"/>
      <c r="N74" s="3"/>
      <c r="O74" s="3"/>
      <c r="P74" s="3"/>
      <c r="Q74" s="3"/>
    </row>
    <row r="75" spans="2:17" hidden="1" outlineLevel="1" x14ac:dyDescent="0.35">
      <c r="B75" s="9" t="s">
        <v>56</v>
      </c>
      <c r="C75" s="3">
        <v>3</v>
      </c>
      <c r="D75" s="3"/>
      <c r="E75" s="3"/>
      <c r="F75" s="3"/>
      <c r="G75" s="3"/>
      <c r="H75" s="3"/>
      <c r="I75" s="3"/>
      <c r="J75" s="3"/>
      <c r="K75" s="3"/>
      <c r="L75" s="3"/>
      <c r="M75" s="3"/>
      <c r="N75" s="3"/>
      <c r="O75" s="3"/>
      <c r="P75" s="3"/>
      <c r="Q75" s="3"/>
    </row>
    <row r="76" spans="2:17" hidden="1" outlineLevel="1" x14ac:dyDescent="0.35">
      <c r="B76" s="4" t="s">
        <v>60</v>
      </c>
      <c r="C76" s="1"/>
      <c r="D76" s="1"/>
      <c r="E76" s="1"/>
      <c r="F76" s="1"/>
      <c r="G76" s="1"/>
      <c r="H76" s="1"/>
      <c r="I76" s="1"/>
      <c r="J76" s="1"/>
      <c r="K76" s="1"/>
      <c r="L76" s="1"/>
      <c r="M76" s="1"/>
      <c r="N76" s="1"/>
      <c r="O76" s="1"/>
      <c r="P76" s="1"/>
      <c r="Q76" s="1"/>
    </row>
    <row r="77" spans="2:17" hidden="1" outlineLevel="1" x14ac:dyDescent="0.35">
      <c r="B77" s="9" t="s">
        <v>56</v>
      </c>
      <c r="C77" s="1">
        <v>3</v>
      </c>
      <c r="D77" s="1"/>
      <c r="E77" s="1"/>
      <c r="F77" s="1"/>
      <c r="G77" s="1"/>
      <c r="H77" s="1"/>
      <c r="I77" s="1"/>
      <c r="J77" s="1"/>
      <c r="K77" s="1"/>
      <c r="L77" s="1"/>
      <c r="M77" s="1"/>
      <c r="N77" s="1"/>
      <c r="O77" s="1"/>
      <c r="P77" s="1"/>
      <c r="Q77" s="1"/>
    </row>
    <row r="78" spans="2:17" hidden="1" outlineLevel="1" x14ac:dyDescent="0.35">
      <c r="B78" s="4" t="s">
        <v>61</v>
      </c>
      <c r="C78" s="1"/>
      <c r="D78" s="1"/>
      <c r="E78" s="1"/>
      <c r="F78" s="1"/>
      <c r="G78" s="1"/>
      <c r="H78" s="1"/>
      <c r="I78" s="1"/>
      <c r="J78" s="1"/>
      <c r="K78" s="1"/>
      <c r="L78" s="1"/>
      <c r="M78" s="1"/>
      <c r="N78" s="1"/>
      <c r="O78" s="1"/>
      <c r="P78" s="1"/>
      <c r="Q78" s="1"/>
    </row>
    <row r="79" spans="2:17" hidden="1" outlineLevel="1" x14ac:dyDescent="0.35">
      <c r="B79" s="9" t="s">
        <v>56</v>
      </c>
      <c r="C79" s="1">
        <v>3</v>
      </c>
      <c r="D79" s="1"/>
      <c r="E79" s="1"/>
      <c r="F79" s="1"/>
      <c r="G79" s="1"/>
      <c r="H79" s="1"/>
      <c r="I79" s="1"/>
      <c r="J79" s="1"/>
      <c r="K79" s="1"/>
      <c r="L79" s="1"/>
      <c r="M79" s="1"/>
      <c r="N79" s="1"/>
      <c r="O79" s="1"/>
      <c r="P79" s="1"/>
      <c r="Q79" s="1"/>
    </row>
    <row r="80" spans="2:17" hidden="1" x14ac:dyDescent="0.35">
      <c r="B80" s="4" t="s">
        <v>62</v>
      </c>
      <c r="C80" s="1"/>
      <c r="D80" s="105">
        <f>(D74/$C$75)+(D76/$C$77)+(D78/$C$79)</f>
        <v>3166.6666666666665</v>
      </c>
      <c r="E80" s="105">
        <f>(E74/$C$75)+(E76/$C$77)+(E78/$C$79)+IF((E$73-D$73)&lt;$C75,$D$74/$C$75)</f>
        <v>4333.333333333333</v>
      </c>
      <c r="F80" s="105">
        <f>(F74/$C$75)+(F76/$C$77)+(F78/$C$79)+IF((F$73-$D$73)&lt;$C75,$D$74/$C$75)+IF((F$73-$E$73)&lt;$C77,$E$74/$C$77)</f>
        <v>5500</v>
      </c>
      <c r="G80" s="105">
        <f>(G74/$C$75)+(G76/$C$77)+(G78/$C$79)+IF((G$73-$D$73)&lt;$C75,$D$74/$C$75)+IF((G$73-$E$73)&lt;$C75,$E$74/$C$75)+IF((G$73-$F$73)&lt;$C75,$F$74/$C$75)</f>
        <v>4333.3333333333339</v>
      </c>
      <c r="H80" s="105">
        <f>(H74/$C$75)+(H76/$C$77)+(H78/$C$79)+IF((H$73-$D$73)&lt;$C75,$D$74/$C$75)+IF((H$73-$E$73)&lt;$C75,$E$74/$C$75)+IF((H$73-$F$73)&lt;$C75,$F$74/$C$75)+IF((H$73-$G$73)&lt;$C75,$G$74/$C$75)</f>
        <v>4333.3333333333339</v>
      </c>
      <c r="I80" s="1"/>
      <c r="J80" s="1"/>
      <c r="K80" s="1"/>
      <c r="L80" s="1"/>
      <c r="M80" s="1"/>
      <c r="N80" s="1"/>
      <c r="O80" s="1"/>
      <c r="P80" s="1"/>
      <c r="Q80" s="1"/>
    </row>
    <row r="81" spans="2:8" ht="15" thickBot="1" x14ac:dyDescent="0.4"/>
    <row r="82" spans="2:8" hidden="1" x14ac:dyDescent="0.35">
      <c r="B82" s="8" t="s">
        <v>65</v>
      </c>
    </row>
    <row r="83" spans="2:8" ht="15.5" x14ac:dyDescent="0.35">
      <c r="B83" s="132" t="s">
        <v>132</v>
      </c>
      <c r="C83" s="142"/>
      <c r="D83" s="144">
        <f>D9</f>
        <v>42900</v>
      </c>
      <c r="E83" s="145">
        <f t="shared" ref="E83:H83" si="8">E9</f>
        <v>69700</v>
      </c>
      <c r="F83" s="145">
        <f t="shared" si="8"/>
        <v>112700</v>
      </c>
      <c r="G83" s="145">
        <f t="shared" si="8"/>
        <v>126800</v>
      </c>
      <c r="H83" s="146">
        <f t="shared" si="8"/>
        <v>152000</v>
      </c>
    </row>
    <row r="84" spans="2:8" ht="16" thickBot="1" x14ac:dyDescent="0.4">
      <c r="B84" s="138" t="s">
        <v>143</v>
      </c>
      <c r="C84" s="143"/>
      <c r="D84" s="147">
        <f>D19+D56+D74</f>
        <v>45000</v>
      </c>
      <c r="E84" s="148">
        <f t="shared" ref="E84:H84" si="9">E19+E56+E74</f>
        <v>28500</v>
      </c>
      <c r="F84" s="148">
        <f t="shared" si="9"/>
        <v>34400</v>
      </c>
      <c r="G84" s="148">
        <f t="shared" si="9"/>
        <v>39000</v>
      </c>
      <c r="H84" s="149">
        <f t="shared" si="9"/>
        <v>36800</v>
      </c>
    </row>
    <row r="85" spans="2:8" x14ac:dyDescent="0.35">
      <c r="D85" s="131"/>
    </row>
  </sheetData>
  <dataConsolidate/>
  <mergeCells count="5">
    <mergeCell ref="C5:C6"/>
    <mergeCell ref="S5:S6"/>
    <mergeCell ref="T5:U6"/>
    <mergeCell ref="C3:C4"/>
    <mergeCell ref="C7:C8"/>
  </mergeCells>
  <conditionalFormatting sqref="D69:Q69">
    <cfRule type="cellIs" dxfId="7" priority="1" operator="greaterThanOrEqual">
      <formula>0</formula>
    </cfRule>
    <cfRule type="cellIs" dxfId="6" priority="2"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EF20-02FD-4AF4-9BEA-EBA1B587BAB1}">
  <sheetPr>
    <tabColor rgb="FFFFFF00"/>
  </sheetPr>
  <dimension ref="B1:O23"/>
  <sheetViews>
    <sheetView workbookViewId="0">
      <selection activeCell="J25" sqref="J25"/>
    </sheetView>
  </sheetViews>
  <sheetFormatPr defaultRowHeight="14.5" x14ac:dyDescent="0.35"/>
  <cols>
    <col min="2" max="2" width="33" bestFit="1" customWidth="1"/>
    <col min="3" max="3" width="2.26953125" hidden="1" customWidth="1"/>
    <col min="4" max="8" width="10.81640625" bestFit="1" customWidth="1"/>
    <col min="9" max="9" width="1.81640625" customWidth="1"/>
    <col min="10" max="10" width="35.7265625" bestFit="1" customWidth="1"/>
    <col min="11" max="12" width="11.54296875" bestFit="1" customWidth="1"/>
    <col min="13" max="15" width="12.7265625" bestFit="1" customWidth="1"/>
  </cols>
  <sheetData>
    <row r="1" spans="2:15" ht="15" thickBot="1" x14ac:dyDescent="0.4"/>
    <row r="2" spans="2:15" ht="15" thickBot="1" x14ac:dyDescent="0.4">
      <c r="B2" s="12" t="s">
        <v>0</v>
      </c>
      <c r="C2" s="56"/>
      <c r="D2" s="75" t="s">
        <v>1</v>
      </c>
      <c r="E2" s="13" t="s">
        <v>2</v>
      </c>
      <c r="F2" s="13" t="s">
        <v>3</v>
      </c>
      <c r="G2" s="13" t="s">
        <v>4</v>
      </c>
      <c r="H2" s="14" t="s">
        <v>5</v>
      </c>
      <c r="I2" s="176"/>
      <c r="J2" s="12" t="s">
        <v>135</v>
      </c>
      <c r="K2" s="75" t="s">
        <v>1</v>
      </c>
      <c r="L2" s="13" t="s">
        <v>2</v>
      </c>
      <c r="M2" s="13" t="s">
        <v>3</v>
      </c>
      <c r="N2" s="13" t="s">
        <v>4</v>
      </c>
      <c r="O2" s="14" t="s">
        <v>5</v>
      </c>
    </row>
    <row r="3" spans="2:15" ht="15.5" x14ac:dyDescent="0.35">
      <c r="B3" s="19" t="s">
        <v>12</v>
      </c>
      <c r="C3" s="57"/>
      <c r="D3" s="78">
        <v>42900</v>
      </c>
      <c r="E3" s="38">
        <v>69700</v>
      </c>
      <c r="F3" s="38">
        <v>112700</v>
      </c>
      <c r="G3" s="38">
        <v>126800</v>
      </c>
      <c r="H3" s="39">
        <v>152000</v>
      </c>
      <c r="I3" s="176"/>
      <c r="J3" s="119" t="s">
        <v>69</v>
      </c>
      <c r="K3" s="164"/>
      <c r="L3" s="158"/>
      <c r="M3" s="158"/>
      <c r="N3" s="158"/>
      <c r="O3" s="165"/>
    </row>
    <row r="4" spans="2:15" x14ac:dyDescent="0.35">
      <c r="B4" s="22"/>
      <c r="C4" s="10"/>
      <c r="D4" s="79"/>
      <c r="E4" s="10"/>
      <c r="F4" s="10"/>
      <c r="G4" s="10"/>
      <c r="H4" s="23"/>
      <c r="I4" s="176"/>
      <c r="J4" s="150" t="s">
        <v>90</v>
      </c>
      <c r="K4" s="166">
        <v>4064.333333333333</v>
      </c>
      <c r="L4" s="159">
        <v>39155.666666666664</v>
      </c>
      <c r="M4" s="159">
        <v>74011</v>
      </c>
      <c r="N4" s="159">
        <v>86782.666666666672</v>
      </c>
      <c r="O4" s="167">
        <v>110935.66666666667</v>
      </c>
    </row>
    <row r="5" spans="2:15" x14ac:dyDescent="0.35">
      <c r="B5" s="41" t="s">
        <v>51</v>
      </c>
      <c r="C5" s="58"/>
      <c r="D5" s="76">
        <v>5100</v>
      </c>
      <c r="E5" s="3">
        <v>5100</v>
      </c>
      <c r="F5" s="3">
        <v>5400</v>
      </c>
      <c r="G5" s="3">
        <v>5400</v>
      </c>
      <c r="H5" s="16">
        <v>5700</v>
      </c>
      <c r="I5" s="176"/>
      <c r="J5" s="151" t="s">
        <v>70</v>
      </c>
      <c r="K5" s="166">
        <v>3166.666666666667</v>
      </c>
      <c r="L5" s="159">
        <v>4333.333333333333</v>
      </c>
      <c r="M5" s="159">
        <v>5500</v>
      </c>
      <c r="N5" s="159">
        <v>4333.333333333333</v>
      </c>
      <c r="O5" s="167">
        <v>4333.333333333333</v>
      </c>
    </row>
    <row r="6" spans="2:15" x14ac:dyDescent="0.35">
      <c r="B6" s="22"/>
      <c r="C6" s="10"/>
      <c r="D6" s="79"/>
      <c r="E6" s="10"/>
      <c r="F6" s="10"/>
      <c r="G6" s="10"/>
      <c r="H6" s="23"/>
      <c r="I6" s="176"/>
      <c r="J6" s="150" t="s">
        <v>43</v>
      </c>
      <c r="K6" s="166">
        <v>3166.666666666667</v>
      </c>
      <c r="L6" s="159">
        <v>4333.333333333333</v>
      </c>
      <c r="M6" s="159">
        <v>5500</v>
      </c>
      <c r="N6" s="159">
        <v>4333.333333333333</v>
      </c>
      <c r="O6" s="167">
        <v>4333.333333333333</v>
      </c>
    </row>
    <row r="7" spans="2:15" ht="15.5" x14ac:dyDescent="0.35">
      <c r="B7" s="19" t="s">
        <v>13</v>
      </c>
      <c r="C7" s="59"/>
      <c r="D7" s="78">
        <v>37800</v>
      </c>
      <c r="E7" s="38">
        <v>64600</v>
      </c>
      <c r="F7" s="38">
        <v>107300</v>
      </c>
      <c r="G7" s="38">
        <v>121400</v>
      </c>
      <c r="H7" s="39">
        <v>146300</v>
      </c>
      <c r="I7" s="176"/>
      <c r="J7" s="48" t="s">
        <v>71</v>
      </c>
      <c r="K7" s="168"/>
      <c r="L7" s="160"/>
      <c r="M7" s="160"/>
      <c r="N7" s="160"/>
      <c r="O7" s="169"/>
    </row>
    <row r="8" spans="2:15" x14ac:dyDescent="0.35">
      <c r="B8" s="22"/>
      <c r="C8" s="10"/>
      <c r="D8" s="79"/>
      <c r="E8" s="10"/>
      <c r="F8" s="10"/>
      <c r="G8" s="10"/>
      <c r="H8" s="23"/>
      <c r="I8" s="176"/>
      <c r="J8" s="150" t="s">
        <v>136</v>
      </c>
      <c r="K8" s="79">
        <v>0</v>
      </c>
      <c r="L8" s="10">
        <v>0</v>
      </c>
      <c r="M8" s="10">
        <v>0</v>
      </c>
      <c r="N8" s="10">
        <v>0</v>
      </c>
      <c r="O8" s="23">
        <v>0</v>
      </c>
    </row>
    <row r="9" spans="2:15" x14ac:dyDescent="0.35">
      <c r="B9" s="41" t="s">
        <v>53</v>
      </c>
      <c r="C9" s="58"/>
      <c r="D9" s="76">
        <v>30400</v>
      </c>
      <c r="E9" s="3">
        <v>19900</v>
      </c>
      <c r="F9" s="3">
        <v>25500</v>
      </c>
      <c r="G9" s="3">
        <v>27600</v>
      </c>
      <c r="H9" s="16">
        <v>27600</v>
      </c>
      <c r="I9" s="176"/>
      <c r="J9" s="152" t="s">
        <v>72</v>
      </c>
      <c r="K9" s="170"/>
      <c r="L9" s="161"/>
      <c r="M9" s="161"/>
      <c r="N9" s="161"/>
      <c r="O9" s="171"/>
    </row>
    <row r="10" spans="2:15" ht="15" thickBot="1" x14ac:dyDescent="0.4">
      <c r="B10" s="41" t="s">
        <v>54</v>
      </c>
      <c r="C10" s="58"/>
      <c r="D10" s="76">
        <v>30400</v>
      </c>
      <c r="E10" s="3">
        <v>19900</v>
      </c>
      <c r="F10" s="3">
        <v>25500</v>
      </c>
      <c r="G10" s="3">
        <v>27600</v>
      </c>
      <c r="H10" s="16">
        <v>27600</v>
      </c>
      <c r="I10" s="176"/>
      <c r="J10" s="48" t="s">
        <v>73</v>
      </c>
      <c r="K10" s="168"/>
      <c r="L10" s="160"/>
      <c r="M10" s="160"/>
      <c r="N10" s="160"/>
      <c r="O10" s="169"/>
    </row>
    <row r="11" spans="2:15" ht="15.5" x14ac:dyDescent="0.35">
      <c r="B11" s="22"/>
      <c r="C11" s="10"/>
      <c r="D11" s="79"/>
      <c r="E11" s="10"/>
      <c r="F11" s="10"/>
      <c r="G11" s="10"/>
      <c r="H11" s="23"/>
      <c r="I11" s="176"/>
      <c r="J11" s="119" t="s">
        <v>74</v>
      </c>
      <c r="K11" s="79">
        <v>7231</v>
      </c>
      <c r="L11" s="10">
        <v>43489</v>
      </c>
      <c r="M11" s="10">
        <v>79511</v>
      </c>
      <c r="N11" s="10">
        <v>91116</v>
      </c>
      <c r="O11" s="23">
        <v>115269</v>
      </c>
    </row>
    <row r="12" spans="2:15" ht="16" thickBot="1" x14ac:dyDescent="0.4">
      <c r="B12" s="40" t="s">
        <v>41</v>
      </c>
      <c r="C12" s="60"/>
      <c r="D12" s="80">
        <v>7400</v>
      </c>
      <c r="E12" s="2">
        <v>44700</v>
      </c>
      <c r="F12" s="2">
        <v>81800</v>
      </c>
      <c r="G12" s="2">
        <v>93800</v>
      </c>
      <c r="H12" s="20">
        <v>118700</v>
      </c>
      <c r="I12" s="176"/>
      <c r="J12" s="153" t="s">
        <v>75</v>
      </c>
      <c r="K12" s="172">
        <v>9500</v>
      </c>
      <c r="L12" s="162">
        <v>3500</v>
      </c>
      <c r="M12" s="162">
        <v>3500</v>
      </c>
      <c r="N12" s="162">
        <v>6000</v>
      </c>
      <c r="O12" s="173">
        <v>3500</v>
      </c>
    </row>
    <row r="13" spans="2:15" ht="15.5" x14ac:dyDescent="0.35">
      <c r="B13" s="41" t="s">
        <v>42</v>
      </c>
      <c r="C13" s="61"/>
      <c r="D13" s="81">
        <v>0.17249417249417248</v>
      </c>
      <c r="E13" s="31">
        <v>0.64131994261119085</v>
      </c>
      <c r="F13" s="31">
        <v>0.72582076308784382</v>
      </c>
      <c r="G13" s="31">
        <v>0.73974763406940058</v>
      </c>
      <c r="H13" s="32">
        <v>0.78092105263157896</v>
      </c>
      <c r="I13" s="176"/>
      <c r="J13" s="119" t="s">
        <v>137</v>
      </c>
      <c r="K13" s="172">
        <v>9500</v>
      </c>
      <c r="L13" s="162">
        <v>3500</v>
      </c>
      <c r="M13" s="162">
        <v>3500</v>
      </c>
      <c r="N13" s="162">
        <v>6000</v>
      </c>
      <c r="O13" s="173">
        <v>3500</v>
      </c>
    </row>
    <row r="14" spans="2:15" x14ac:dyDescent="0.35">
      <c r="B14" s="22"/>
      <c r="C14" s="10"/>
      <c r="D14" s="79"/>
      <c r="E14" s="10"/>
      <c r="F14" s="10"/>
      <c r="G14" s="10"/>
      <c r="H14" s="23"/>
      <c r="I14" s="176"/>
      <c r="J14" s="150" t="s">
        <v>76</v>
      </c>
      <c r="K14" s="79">
        <v>0</v>
      </c>
      <c r="L14" s="10">
        <v>0</v>
      </c>
      <c r="M14" s="10">
        <v>0</v>
      </c>
      <c r="N14" s="10">
        <v>0</v>
      </c>
      <c r="O14" s="23">
        <v>0</v>
      </c>
    </row>
    <row r="15" spans="2:15" ht="15" thickBot="1" x14ac:dyDescent="0.4">
      <c r="B15" s="41" t="s">
        <v>43</v>
      </c>
      <c r="C15" s="58"/>
      <c r="D15" s="76">
        <v>3166.666666666667</v>
      </c>
      <c r="E15" s="3">
        <v>4333.333333333333</v>
      </c>
      <c r="F15" s="3">
        <v>5500</v>
      </c>
      <c r="G15" s="3">
        <v>4333.333333333333</v>
      </c>
      <c r="H15" s="16">
        <v>4333.333333333333</v>
      </c>
      <c r="I15" s="176"/>
      <c r="J15" s="154" t="s">
        <v>77</v>
      </c>
      <c r="K15" s="174"/>
      <c r="L15" s="163"/>
      <c r="M15" s="163"/>
      <c r="N15" s="163"/>
      <c r="O15" s="175"/>
    </row>
    <row r="16" spans="2:15" ht="19" thickBot="1" x14ac:dyDescent="0.5">
      <c r="B16" s="22"/>
      <c r="C16" s="10"/>
      <c r="D16" s="79"/>
      <c r="E16" s="10"/>
      <c r="F16" s="10"/>
      <c r="G16" s="10"/>
      <c r="H16" s="23"/>
      <c r="I16" s="176"/>
      <c r="J16" s="53" t="s">
        <v>78</v>
      </c>
      <c r="K16" s="130">
        <v>-2269</v>
      </c>
      <c r="L16" s="122">
        <v>39989</v>
      </c>
      <c r="M16" s="122">
        <v>76011</v>
      </c>
      <c r="N16" s="122">
        <v>85116</v>
      </c>
      <c r="O16" s="122">
        <v>111769</v>
      </c>
    </row>
    <row r="17" spans="2:15" ht="16" thickBot="1" x14ac:dyDescent="0.4">
      <c r="B17" s="42" t="s">
        <v>45</v>
      </c>
      <c r="C17" s="60"/>
      <c r="D17" s="82">
        <v>4233.333333333333</v>
      </c>
      <c r="E17" s="6">
        <v>40366.666666666664</v>
      </c>
      <c r="F17" s="6">
        <v>76300</v>
      </c>
      <c r="G17" s="6">
        <v>89466.666666666672</v>
      </c>
      <c r="H17" s="24">
        <v>114366.66666666667</v>
      </c>
      <c r="I17" s="176"/>
      <c r="J17" s="119"/>
      <c r="K17" s="172"/>
      <c r="L17" s="162"/>
      <c r="M17" s="162"/>
      <c r="N17" s="162"/>
      <c r="O17" s="173"/>
    </row>
    <row r="18" spans="2:15" ht="15.5" x14ac:dyDescent="0.35">
      <c r="B18" s="41" t="s">
        <v>55</v>
      </c>
      <c r="C18" s="60"/>
      <c r="D18" s="83">
        <v>9.8679098679098673E-2</v>
      </c>
      <c r="E18" s="33">
        <v>0.57914873266379718</v>
      </c>
      <c r="F18" s="33">
        <v>0.67701863354037262</v>
      </c>
      <c r="G18" s="33">
        <v>0.70557308096740279</v>
      </c>
      <c r="H18" s="34">
        <v>0.75241228070175437</v>
      </c>
      <c r="I18" s="176"/>
      <c r="J18" s="155" t="s">
        <v>132</v>
      </c>
      <c r="K18" s="178">
        <v>42900</v>
      </c>
      <c r="L18" s="178">
        <v>69700</v>
      </c>
      <c r="M18" s="178">
        <v>112700</v>
      </c>
      <c r="N18" s="178">
        <v>126800</v>
      </c>
      <c r="O18" s="179">
        <v>152000</v>
      </c>
    </row>
    <row r="19" spans="2:15" x14ac:dyDescent="0.35">
      <c r="B19" s="25" t="s">
        <v>68</v>
      </c>
      <c r="C19" s="60"/>
      <c r="D19" s="84">
        <v>169</v>
      </c>
      <c r="E19" s="5">
        <v>1211</v>
      </c>
      <c r="F19" s="5">
        <v>2289</v>
      </c>
      <c r="G19" s="5">
        <v>2683.9999999999995</v>
      </c>
      <c r="H19" s="26">
        <v>3430.9999999999995</v>
      </c>
      <c r="I19" s="176"/>
      <c r="J19" s="156" t="s">
        <v>143</v>
      </c>
      <c r="K19" s="136">
        <v>45000</v>
      </c>
      <c r="L19" s="136">
        <v>28500</v>
      </c>
      <c r="M19" s="136">
        <v>34400</v>
      </c>
      <c r="N19" s="136">
        <v>39000</v>
      </c>
      <c r="O19" s="137">
        <v>36800</v>
      </c>
    </row>
    <row r="20" spans="2:15" ht="16" thickBot="1" x14ac:dyDescent="0.4">
      <c r="B20" s="15" t="s">
        <v>134</v>
      </c>
      <c r="C20" s="58"/>
      <c r="D20" s="98">
        <v>4064.333333333333</v>
      </c>
      <c r="E20" s="99">
        <v>39155.666666666664</v>
      </c>
      <c r="F20" s="99">
        <v>74011</v>
      </c>
      <c r="G20" s="99">
        <v>86782.666666666672</v>
      </c>
      <c r="H20" s="100">
        <v>110935.66666666667</v>
      </c>
      <c r="I20" s="176"/>
      <c r="J20" s="157" t="s">
        <v>78</v>
      </c>
      <c r="K20" s="180">
        <v>-2269</v>
      </c>
      <c r="L20" s="181">
        <v>39989</v>
      </c>
      <c r="M20" s="181">
        <v>76011</v>
      </c>
      <c r="N20" s="181">
        <v>85116</v>
      </c>
      <c r="O20" s="182">
        <v>111769</v>
      </c>
    </row>
    <row r="21" spans="2:15" x14ac:dyDescent="0.35">
      <c r="B21" s="43" t="s">
        <v>67</v>
      </c>
      <c r="C21" s="62"/>
      <c r="D21" s="85">
        <v>9.4739704739704736E-2</v>
      </c>
      <c r="E21" s="11">
        <v>0.5617742706838833</v>
      </c>
      <c r="F21" s="11">
        <v>0.65670807453416147</v>
      </c>
      <c r="G21" s="11">
        <v>0.68440588853838069</v>
      </c>
      <c r="H21" s="27">
        <v>0.72983991228070177</v>
      </c>
      <c r="I21" s="176"/>
    </row>
    <row r="22" spans="2:15" ht="15" thickBot="1" x14ac:dyDescent="0.4">
      <c r="B22" s="28"/>
      <c r="C22" s="29"/>
      <c r="D22" s="87"/>
      <c r="E22" s="29"/>
      <c r="F22" s="29"/>
      <c r="G22" s="29"/>
      <c r="H22" s="30"/>
      <c r="I22" s="176"/>
      <c r="J22" s="4" t="s">
        <v>131</v>
      </c>
      <c r="K22" s="3">
        <v>9500</v>
      </c>
      <c r="L22" s="3">
        <v>3500</v>
      </c>
      <c r="M22" s="3">
        <v>3500</v>
      </c>
      <c r="N22" s="3">
        <v>6000</v>
      </c>
      <c r="O22" s="3">
        <v>3500</v>
      </c>
    </row>
    <row r="23" spans="2:15" x14ac:dyDescent="0.35">
      <c r="I23" s="17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9BA0-09B4-4959-A03A-32A1222862EA}">
  <sheetPr>
    <tabColor rgb="FFFFFF00"/>
  </sheetPr>
  <dimension ref="B1:U82"/>
  <sheetViews>
    <sheetView topLeftCell="A40" zoomScale="90" zoomScaleNormal="90" workbookViewId="0">
      <selection activeCell="B84" sqref="B84"/>
    </sheetView>
  </sheetViews>
  <sheetFormatPr defaultRowHeight="14.5" outlineLevelRow="1" x14ac:dyDescent="0.35"/>
  <cols>
    <col min="1" max="1" width="1" customWidth="1"/>
    <col min="2" max="2" width="53.453125" customWidth="1"/>
    <col min="3" max="3" width="19" customWidth="1"/>
    <col min="4" max="4" width="12.7265625" bestFit="1" customWidth="1"/>
    <col min="5" max="6" width="10.26953125" bestFit="1" customWidth="1"/>
    <col min="7" max="8" width="10.81640625" bestFit="1" customWidth="1"/>
    <col min="9" max="17" width="10.81640625" hidden="1" customWidth="1"/>
    <col min="18" max="18" width="3.26953125" customWidth="1"/>
    <col min="19" max="19" width="27.81640625" customWidth="1"/>
    <col min="20" max="20" width="17.7265625" customWidth="1"/>
    <col min="21" max="21" width="88" bestFit="1" customWidth="1"/>
  </cols>
  <sheetData>
    <row r="1" spans="2:21" ht="6" customHeight="1" thickBot="1" x14ac:dyDescent="0.4"/>
    <row r="2" spans="2:21" x14ac:dyDescent="0.35">
      <c r="B2" s="12" t="s">
        <v>0</v>
      </c>
      <c r="C2" s="56"/>
      <c r="D2" s="75" t="s">
        <v>1</v>
      </c>
      <c r="E2" s="13" t="s">
        <v>2</v>
      </c>
      <c r="F2" s="13" t="s">
        <v>3</v>
      </c>
      <c r="G2" s="13" t="s">
        <v>4</v>
      </c>
      <c r="H2" s="14" t="s">
        <v>5</v>
      </c>
      <c r="I2" s="64" t="s">
        <v>6</v>
      </c>
      <c r="J2" s="13" t="s">
        <v>7</v>
      </c>
      <c r="K2" s="13" t="s">
        <v>8</v>
      </c>
      <c r="L2" s="13" t="s">
        <v>9</v>
      </c>
      <c r="M2" s="13" t="s">
        <v>10</v>
      </c>
      <c r="N2" s="13" t="s">
        <v>47</v>
      </c>
      <c r="O2" s="13" t="s">
        <v>48</v>
      </c>
      <c r="P2" s="13" t="s">
        <v>49</v>
      </c>
      <c r="Q2" s="14" t="s">
        <v>50</v>
      </c>
      <c r="S2" s="96" t="s">
        <v>87</v>
      </c>
      <c r="T2" s="96" t="s">
        <v>88</v>
      </c>
      <c r="U2" s="96" t="s">
        <v>93</v>
      </c>
    </row>
    <row r="3" spans="2:21" ht="26.5" x14ac:dyDescent="0.35">
      <c r="B3" s="88" t="s">
        <v>79</v>
      </c>
      <c r="C3" s="196" t="s">
        <v>125</v>
      </c>
      <c r="D3" s="89">
        <v>5</v>
      </c>
      <c r="E3" s="90">
        <v>10</v>
      </c>
      <c r="F3" s="90">
        <v>12</v>
      </c>
      <c r="G3" s="90">
        <v>14</v>
      </c>
      <c r="H3" s="91">
        <v>16</v>
      </c>
      <c r="I3" s="65">
        <v>12</v>
      </c>
      <c r="J3" s="3">
        <v>12</v>
      </c>
      <c r="K3" s="3">
        <v>12</v>
      </c>
      <c r="L3" s="3">
        <v>12</v>
      </c>
      <c r="M3" s="3">
        <v>12</v>
      </c>
      <c r="N3" s="3">
        <v>12</v>
      </c>
      <c r="O3" s="3">
        <v>12</v>
      </c>
      <c r="P3" s="3">
        <v>12</v>
      </c>
      <c r="Q3" s="16">
        <v>12</v>
      </c>
      <c r="S3" s="88" t="s">
        <v>79</v>
      </c>
      <c r="T3" s="97" t="s">
        <v>89</v>
      </c>
      <c r="U3" s="107" t="s">
        <v>94</v>
      </c>
    </row>
    <row r="4" spans="2:21" ht="104.5" x14ac:dyDescent="0.35">
      <c r="B4" s="92" t="s">
        <v>80</v>
      </c>
      <c r="C4" s="197"/>
      <c r="D4" s="93">
        <v>2000</v>
      </c>
      <c r="E4" s="94">
        <v>2000</v>
      </c>
      <c r="F4" s="94">
        <v>2000</v>
      </c>
      <c r="G4" s="94">
        <v>2000</v>
      </c>
      <c r="H4" s="95">
        <v>2000</v>
      </c>
      <c r="I4" s="66"/>
      <c r="J4" s="7"/>
      <c r="K4" s="7"/>
      <c r="L4" s="7"/>
      <c r="M4" s="7"/>
      <c r="N4" s="7"/>
      <c r="O4" s="7"/>
      <c r="P4" s="7"/>
      <c r="Q4" s="18"/>
      <c r="S4" s="88" t="s">
        <v>80</v>
      </c>
      <c r="T4" s="97" t="s">
        <v>89</v>
      </c>
      <c r="U4" s="106" t="s">
        <v>99</v>
      </c>
    </row>
    <row r="5" spans="2:21" x14ac:dyDescent="0.35">
      <c r="B5" s="92" t="s">
        <v>104</v>
      </c>
      <c r="C5" s="183" t="s">
        <v>126</v>
      </c>
      <c r="D5" s="93">
        <v>1</v>
      </c>
      <c r="E5" s="94">
        <v>2</v>
      </c>
      <c r="F5" s="94">
        <v>3</v>
      </c>
      <c r="G5" s="94">
        <v>3</v>
      </c>
      <c r="H5" s="95">
        <v>3</v>
      </c>
      <c r="I5" s="66"/>
      <c r="J5" s="7"/>
      <c r="K5" s="7"/>
      <c r="L5" s="7"/>
      <c r="M5" s="7"/>
      <c r="N5" s="7"/>
      <c r="O5" s="7"/>
      <c r="P5" s="7"/>
      <c r="Q5" s="18"/>
      <c r="S5" s="198"/>
      <c r="T5" s="191" t="s">
        <v>105</v>
      </c>
      <c r="U5" s="192"/>
    </row>
    <row r="6" spans="2:21" x14ac:dyDescent="0.35">
      <c r="B6" s="92" t="s">
        <v>103</v>
      </c>
      <c r="C6" s="184"/>
      <c r="D6" s="93">
        <v>900</v>
      </c>
      <c r="E6" s="94">
        <v>900</v>
      </c>
      <c r="F6" s="94">
        <v>1000</v>
      </c>
      <c r="G6" s="94">
        <v>1000</v>
      </c>
      <c r="H6" s="95">
        <v>1000</v>
      </c>
      <c r="I6" s="66"/>
      <c r="J6" s="7"/>
      <c r="K6" s="7"/>
      <c r="L6" s="7"/>
      <c r="M6" s="7"/>
      <c r="N6" s="7"/>
      <c r="O6" s="7"/>
      <c r="P6" s="7"/>
      <c r="Q6" s="18"/>
      <c r="S6" s="198"/>
      <c r="T6" s="192"/>
      <c r="U6" s="192"/>
    </row>
    <row r="7" spans="2:21" ht="45" customHeight="1" x14ac:dyDescent="0.35">
      <c r="B7" s="92" t="s">
        <v>101</v>
      </c>
      <c r="C7" s="183" t="s">
        <v>127</v>
      </c>
      <c r="D7" s="93">
        <v>400</v>
      </c>
      <c r="E7" s="94">
        <v>500</v>
      </c>
      <c r="F7" s="94">
        <v>600</v>
      </c>
      <c r="G7" s="94">
        <v>600</v>
      </c>
      <c r="H7" s="95">
        <v>600</v>
      </c>
      <c r="I7" s="66"/>
      <c r="J7" s="7"/>
      <c r="K7" s="7"/>
      <c r="L7" s="7"/>
      <c r="M7" s="7"/>
      <c r="N7" s="7"/>
      <c r="O7" s="7"/>
      <c r="P7" s="7"/>
      <c r="Q7" s="18"/>
      <c r="S7" s="113" t="s">
        <v>106</v>
      </c>
      <c r="T7" s="193" t="s">
        <v>107</v>
      </c>
      <c r="U7" s="194"/>
    </row>
    <row r="8" spans="2:21" x14ac:dyDescent="0.35">
      <c r="B8" s="92" t="s">
        <v>102</v>
      </c>
      <c r="C8" s="184"/>
      <c r="D8" s="93">
        <v>3</v>
      </c>
      <c r="E8" s="94">
        <v>3</v>
      </c>
      <c r="F8" s="94">
        <v>4</v>
      </c>
      <c r="G8" s="94">
        <v>4</v>
      </c>
      <c r="H8" s="95">
        <v>4</v>
      </c>
      <c r="I8" s="66"/>
      <c r="J8" s="7"/>
      <c r="K8" s="7"/>
      <c r="L8" s="7"/>
      <c r="M8" s="7"/>
      <c r="N8" s="7"/>
      <c r="O8" s="7"/>
      <c r="P8" s="7"/>
      <c r="Q8" s="18"/>
      <c r="S8" s="113"/>
      <c r="T8" s="195"/>
      <c r="U8" s="195"/>
    </row>
    <row r="9" spans="2:21" ht="15.5" x14ac:dyDescent="0.35">
      <c r="B9" s="19" t="s">
        <v>124</v>
      </c>
      <c r="C9" s="57"/>
      <c r="D9" s="78">
        <f>D3*D4+D5*D6+D7*D8</f>
        <v>12100</v>
      </c>
      <c r="E9" s="38">
        <f t="shared" ref="E9:H9" si="0">E3*E4+E5*E6+E7*E8</f>
        <v>23300</v>
      </c>
      <c r="F9" s="38">
        <f t="shared" si="0"/>
        <v>29400</v>
      </c>
      <c r="G9" s="38">
        <f t="shared" si="0"/>
        <v>33400</v>
      </c>
      <c r="H9" s="39">
        <f t="shared" si="0"/>
        <v>37400</v>
      </c>
      <c r="I9" s="67">
        <f t="shared" ref="I9" si="1">I3*I4+I5*I6+I7*I8</f>
        <v>0</v>
      </c>
      <c r="J9" s="38">
        <f t="shared" ref="J9" si="2">J3*J4+J5*J6+J7*J8</f>
        <v>0</v>
      </c>
      <c r="K9" s="38">
        <f t="shared" ref="K9" si="3">K3*K4+K5*K6+K7*K8</f>
        <v>0</v>
      </c>
      <c r="L9" s="38">
        <f t="shared" ref="L9" si="4">L3*L4+L5*L6+L7*L8</f>
        <v>0</v>
      </c>
      <c r="M9" s="38">
        <f t="shared" ref="M9" si="5">M3*M4+M5*M6+M7*M8</f>
        <v>0</v>
      </c>
      <c r="N9" s="38">
        <f t="shared" ref="N9" si="6">N3*N4+N5*N6+N7*N8</f>
        <v>0</v>
      </c>
      <c r="O9" s="38">
        <f t="shared" ref="O9" si="7">O3*O4+O5*O6+O7*O8</f>
        <v>0</v>
      </c>
      <c r="P9" s="38">
        <f t="shared" ref="P9" si="8">P3*P4+P5*P6+P7*P8</f>
        <v>0</v>
      </c>
      <c r="Q9" s="39">
        <f t="shared" ref="Q9" si="9">Q3*Q4+Q5*Q6+Q7*Q8</f>
        <v>0</v>
      </c>
      <c r="S9" s="44"/>
    </row>
    <row r="10" spans="2:21" ht="6" customHeight="1" x14ac:dyDescent="0.35">
      <c r="B10" s="22"/>
      <c r="C10" s="10"/>
      <c r="D10" s="79"/>
      <c r="E10" s="10"/>
      <c r="F10" s="10"/>
      <c r="G10" s="10"/>
      <c r="H10" s="23"/>
      <c r="I10" s="10"/>
      <c r="J10" s="10"/>
      <c r="K10" s="10"/>
      <c r="L10" s="10"/>
      <c r="M10" s="10"/>
      <c r="N10" s="10"/>
      <c r="O10" s="10"/>
      <c r="P10" s="10"/>
      <c r="Q10" s="23"/>
    </row>
    <row r="11" spans="2:21" outlineLevel="1" x14ac:dyDescent="0.35">
      <c r="B11" s="21" t="s">
        <v>14</v>
      </c>
      <c r="C11" s="57"/>
      <c r="D11" s="76"/>
      <c r="E11" s="3"/>
      <c r="F11" s="3"/>
      <c r="G11" s="3"/>
      <c r="H11" s="16"/>
      <c r="I11" s="65"/>
      <c r="J11" s="3"/>
      <c r="K11" s="3"/>
      <c r="L11" s="3"/>
      <c r="M11" s="3"/>
      <c r="N11" s="3"/>
      <c r="O11" s="3"/>
      <c r="P11" s="3"/>
      <c r="Q11" s="16"/>
      <c r="S11" s="21" t="s">
        <v>14</v>
      </c>
      <c r="T11" s="96" t="s">
        <v>91</v>
      </c>
      <c r="U11" s="96" t="s">
        <v>93</v>
      </c>
    </row>
    <row r="12" spans="2:21" outlineLevel="1" x14ac:dyDescent="0.35">
      <c r="B12" s="55" t="s">
        <v>83</v>
      </c>
      <c r="C12" s="58"/>
      <c r="D12" s="89">
        <v>20</v>
      </c>
      <c r="E12" s="90">
        <v>20</v>
      </c>
      <c r="F12" s="90">
        <v>20</v>
      </c>
      <c r="G12" s="90">
        <v>20</v>
      </c>
      <c r="H12" s="91">
        <v>20</v>
      </c>
      <c r="I12" s="65">
        <v>15</v>
      </c>
      <c r="J12" s="3">
        <v>15</v>
      </c>
      <c r="K12" s="3">
        <v>15</v>
      </c>
      <c r="L12" s="3">
        <v>15</v>
      </c>
      <c r="M12" s="3">
        <v>15</v>
      </c>
      <c r="N12" s="3">
        <v>15</v>
      </c>
      <c r="O12" s="3">
        <v>15</v>
      </c>
      <c r="P12" s="3">
        <v>15</v>
      </c>
      <c r="Q12" s="16">
        <v>15</v>
      </c>
      <c r="S12" s="55" t="s">
        <v>83</v>
      </c>
      <c r="T12" s="97" t="s">
        <v>92</v>
      </c>
      <c r="U12" s="108" t="s">
        <v>109</v>
      </c>
    </row>
    <row r="13" spans="2:21" outlineLevel="1" x14ac:dyDescent="0.35">
      <c r="B13" s="17"/>
      <c r="C13" s="58"/>
      <c r="D13" s="89"/>
      <c r="E13" s="90"/>
      <c r="F13" s="90"/>
      <c r="G13" s="90"/>
      <c r="H13" s="91"/>
      <c r="I13" s="65"/>
      <c r="J13" s="3"/>
      <c r="K13" s="3"/>
      <c r="L13" s="3"/>
      <c r="M13" s="3"/>
      <c r="N13" s="3"/>
      <c r="O13" s="3"/>
      <c r="P13" s="3"/>
      <c r="Q13" s="16"/>
      <c r="S13" s="17"/>
      <c r="T13" s="97"/>
      <c r="U13" s="108"/>
    </row>
    <row r="14" spans="2:21" outlineLevel="1" x14ac:dyDescent="0.35">
      <c r="B14" s="17"/>
      <c r="C14" s="58"/>
      <c r="D14" s="89"/>
      <c r="E14" s="90"/>
      <c r="F14" s="90"/>
      <c r="G14" s="90"/>
      <c r="H14" s="91"/>
      <c r="I14" s="65"/>
      <c r="J14" s="3"/>
      <c r="K14" s="3"/>
      <c r="L14" s="3"/>
      <c r="M14" s="3"/>
      <c r="N14" s="3"/>
      <c r="O14" s="3"/>
      <c r="P14" s="3"/>
      <c r="Q14" s="16"/>
      <c r="S14" s="17"/>
      <c r="T14" s="97"/>
      <c r="U14" s="108"/>
    </row>
    <row r="15" spans="2:21" outlineLevel="1" x14ac:dyDescent="0.35">
      <c r="B15" s="17" t="s">
        <v>84</v>
      </c>
      <c r="C15" s="57"/>
      <c r="D15" s="89">
        <v>500</v>
      </c>
      <c r="E15" s="90">
        <v>500</v>
      </c>
      <c r="F15" s="90">
        <v>600</v>
      </c>
      <c r="G15" s="90">
        <v>600</v>
      </c>
      <c r="H15" s="91">
        <v>700</v>
      </c>
      <c r="I15" s="65"/>
      <c r="J15" s="3"/>
      <c r="K15" s="3"/>
      <c r="L15" s="3"/>
      <c r="M15" s="3"/>
      <c r="N15" s="3"/>
      <c r="O15" s="3"/>
      <c r="P15" s="3"/>
      <c r="Q15" s="16"/>
      <c r="S15" s="17" t="s">
        <v>84</v>
      </c>
      <c r="T15" s="97" t="s">
        <v>92</v>
      </c>
      <c r="U15" s="108" t="s">
        <v>97</v>
      </c>
    </row>
    <row r="16" spans="2:21" outlineLevel="1" x14ac:dyDescent="0.35">
      <c r="B16" s="17" t="s">
        <v>85</v>
      </c>
      <c r="C16" s="57"/>
      <c r="D16" s="89">
        <v>100</v>
      </c>
      <c r="E16" s="90">
        <v>100</v>
      </c>
      <c r="F16" s="90">
        <v>100</v>
      </c>
      <c r="G16" s="90">
        <v>100</v>
      </c>
      <c r="H16" s="91">
        <v>100</v>
      </c>
      <c r="I16" s="65"/>
      <c r="J16" s="3"/>
      <c r="K16" s="3"/>
      <c r="L16" s="3"/>
      <c r="M16" s="3"/>
      <c r="N16" s="3"/>
      <c r="O16" s="3"/>
      <c r="P16" s="3"/>
      <c r="Q16" s="16"/>
      <c r="S16" s="17" t="s">
        <v>85</v>
      </c>
      <c r="T16" s="97" t="s">
        <v>92</v>
      </c>
      <c r="U16" s="108"/>
    </row>
    <row r="17" spans="2:21" outlineLevel="1" x14ac:dyDescent="0.35">
      <c r="B17" s="17" t="s">
        <v>86</v>
      </c>
      <c r="C17" s="58"/>
      <c r="D17" s="89">
        <v>1000</v>
      </c>
      <c r="E17" s="90">
        <v>1000</v>
      </c>
      <c r="F17" s="90">
        <v>1000</v>
      </c>
      <c r="G17" s="90">
        <v>1000</v>
      </c>
      <c r="H17" s="91">
        <v>1000</v>
      </c>
      <c r="I17" s="65"/>
      <c r="J17" s="3"/>
      <c r="K17" s="3"/>
      <c r="L17" s="3"/>
      <c r="M17" s="3"/>
      <c r="N17" s="3"/>
      <c r="O17" s="3"/>
      <c r="P17" s="3"/>
      <c r="Q17" s="16"/>
      <c r="S17" s="17" t="s">
        <v>86</v>
      </c>
      <c r="T17" s="97" t="s">
        <v>92</v>
      </c>
      <c r="U17" s="106" t="s">
        <v>98</v>
      </c>
    </row>
    <row r="18" spans="2:21" outlineLevel="1" x14ac:dyDescent="0.35">
      <c r="B18" s="17" t="s">
        <v>15</v>
      </c>
      <c r="C18" s="58"/>
      <c r="D18" s="89">
        <v>100</v>
      </c>
      <c r="E18" s="90">
        <v>100</v>
      </c>
      <c r="F18" s="90">
        <v>100</v>
      </c>
      <c r="G18" s="90">
        <v>100</v>
      </c>
      <c r="H18" s="91">
        <v>100</v>
      </c>
      <c r="I18" s="65"/>
      <c r="J18" s="3"/>
      <c r="K18" s="3"/>
      <c r="L18" s="3"/>
      <c r="M18" s="3"/>
      <c r="N18" s="3"/>
      <c r="O18" s="3"/>
      <c r="P18" s="3"/>
      <c r="Q18" s="16"/>
      <c r="S18" s="17" t="s">
        <v>15</v>
      </c>
      <c r="T18" s="97" t="s">
        <v>92</v>
      </c>
      <c r="U18" s="108"/>
    </row>
    <row r="19" spans="2:21" x14ac:dyDescent="0.35">
      <c r="B19" s="41" t="s">
        <v>51</v>
      </c>
      <c r="C19" s="58"/>
      <c r="D19" s="76">
        <f>SUM(D13:D18)</f>
        <v>1700</v>
      </c>
      <c r="E19" s="3">
        <f t="shared" ref="E19:Q19" si="10">SUM(E13:E18)</f>
        <v>1700</v>
      </c>
      <c r="F19" s="3">
        <f t="shared" si="10"/>
        <v>1800</v>
      </c>
      <c r="G19" s="3">
        <f t="shared" si="10"/>
        <v>1800</v>
      </c>
      <c r="H19" s="16">
        <f t="shared" si="10"/>
        <v>1900</v>
      </c>
      <c r="I19" s="3">
        <f t="shared" si="10"/>
        <v>0</v>
      </c>
      <c r="J19" s="3">
        <f t="shared" si="10"/>
        <v>0</v>
      </c>
      <c r="K19" s="3">
        <f t="shared" si="10"/>
        <v>0</v>
      </c>
      <c r="L19" s="3">
        <f t="shared" si="10"/>
        <v>0</v>
      </c>
      <c r="M19" s="3">
        <f t="shared" si="10"/>
        <v>0</v>
      </c>
      <c r="N19" s="3">
        <f t="shared" si="10"/>
        <v>0</v>
      </c>
      <c r="O19" s="3">
        <f t="shared" si="10"/>
        <v>0</v>
      </c>
      <c r="P19" s="3">
        <f t="shared" si="10"/>
        <v>0</v>
      </c>
      <c r="Q19" s="16">
        <f t="shared" si="10"/>
        <v>0</v>
      </c>
      <c r="U19" s="109"/>
    </row>
    <row r="20" spans="2:21" ht="6" customHeight="1" x14ac:dyDescent="0.35">
      <c r="B20" s="22"/>
      <c r="C20" s="10"/>
      <c r="D20" s="79"/>
      <c r="E20" s="10"/>
      <c r="F20" s="10"/>
      <c r="G20" s="10"/>
      <c r="H20" s="23"/>
      <c r="I20" s="10"/>
      <c r="J20" s="10"/>
      <c r="K20" s="10"/>
      <c r="L20" s="10"/>
      <c r="M20" s="10"/>
      <c r="N20" s="10"/>
      <c r="O20" s="10"/>
      <c r="P20" s="10"/>
      <c r="Q20" s="23"/>
    </row>
    <row r="21" spans="2:21" ht="15.5" x14ac:dyDescent="0.35">
      <c r="B21" s="19" t="s">
        <v>13</v>
      </c>
      <c r="C21" s="59"/>
      <c r="D21" s="78">
        <f>D9-D19</f>
        <v>10400</v>
      </c>
      <c r="E21" s="38">
        <f t="shared" ref="E21:Q21" si="11">E9-E19</f>
        <v>21600</v>
      </c>
      <c r="F21" s="38">
        <f t="shared" si="11"/>
        <v>27600</v>
      </c>
      <c r="G21" s="38">
        <f t="shared" si="11"/>
        <v>31600</v>
      </c>
      <c r="H21" s="39">
        <f t="shared" si="11"/>
        <v>35500</v>
      </c>
      <c r="I21" s="67">
        <f t="shared" si="11"/>
        <v>0</v>
      </c>
      <c r="J21" s="38">
        <f t="shared" si="11"/>
        <v>0</v>
      </c>
      <c r="K21" s="38">
        <f t="shared" si="11"/>
        <v>0</v>
      </c>
      <c r="L21" s="38">
        <f t="shared" si="11"/>
        <v>0</v>
      </c>
      <c r="M21" s="38">
        <f t="shared" si="11"/>
        <v>0</v>
      </c>
      <c r="N21" s="38">
        <f t="shared" si="11"/>
        <v>0</v>
      </c>
      <c r="O21" s="38">
        <f t="shared" si="11"/>
        <v>0</v>
      </c>
      <c r="P21" s="38">
        <f t="shared" si="11"/>
        <v>0</v>
      </c>
      <c r="Q21" s="39">
        <f t="shared" si="11"/>
        <v>0</v>
      </c>
    </row>
    <row r="22" spans="2:21" ht="6" customHeight="1" x14ac:dyDescent="0.35">
      <c r="B22" s="22"/>
      <c r="C22" s="10"/>
      <c r="D22" s="79"/>
      <c r="E22" s="10"/>
      <c r="F22" s="10"/>
      <c r="G22" s="10"/>
      <c r="H22" s="23"/>
      <c r="I22" s="10"/>
      <c r="J22" s="10"/>
      <c r="K22" s="10"/>
      <c r="L22" s="10"/>
      <c r="M22" s="10"/>
      <c r="N22" s="10"/>
      <c r="O22" s="10"/>
      <c r="P22" s="10"/>
      <c r="Q22" s="23"/>
    </row>
    <row r="23" spans="2:21" outlineLevel="1" x14ac:dyDescent="0.35">
      <c r="B23" s="21" t="s">
        <v>16</v>
      </c>
      <c r="C23" s="58"/>
      <c r="D23" s="76"/>
      <c r="E23" s="3"/>
      <c r="F23" s="3"/>
      <c r="G23" s="3"/>
      <c r="H23" s="16"/>
      <c r="I23" s="65"/>
      <c r="J23" s="3"/>
      <c r="K23" s="3"/>
      <c r="L23" s="3"/>
      <c r="M23" s="3"/>
      <c r="N23" s="3"/>
      <c r="O23" s="3"/>
      <c r="P23" s="3"/>
      <c r="Q23" s="16"/>
      <c r="S23" s="21" t="s">
        <v>16</v>
      </c>
      <c r="T23" s="96" t="s">
        <v>91</v>
      </c>
      <c r="U23" s="96" t="s">
        <v>93</v>
      </c>
    </row>
    <row r="24" spans="2:21" outlineLevel="1" x14ac:dyDescent="0.35">
      <c r="B24" s="17" t="s">
        <v>17</v>
      </c>
      <c r="C24" s="58"/>
      <c r="D24" s="89"/>
      <c r="E24" s="90"/>
      <c r="F24" s="90"/>
      <c r="G24" s="90"/>
      <c r="H24" s="91"/>
      <c r="I24" s="65"/>
      <c r="J24" s="3"/>
      <c r="K24" s="3"/>
      <c r="L24" s="3"/>
      <c r="M24" s="3"/>
      <c r="N24" s="3"/>
      <c r="O24" s="3"/>
      <c r="P24" s="3"/>
      <c r="Q24" s="16"/>
      <c r="S24" s="17" t="s">
        <v>17</v>
      </c>
      <c r="T24" s="97" t="s">
        <v>92</v>
      </c>
      <c r="U24" s="97"/>
    </row>
    <row r="25" spans="2:21" outlineLevel="1" x14ac:dyDescent="0.35">
      <c r="B25" s="17" t="s">
        <v>18</v>
      </c>
      <c r="C25" s="58"/>
      <c r="D25" s="89"/>
      <c r="E25" s="90"/>
      <c r="F25" s="90"/>
      <c r="G25" s="90"/>
      <c r="H25" s="91"/>
      <c r="I25" s="65"/>
      <c r="J25" s="3"/>
      <c r="K25" s="3"/>
      <c r="L25" s="3"/>
      <c r="M25" s="3"/>
      <c r="N25" s="3"/>
      <c r="O25" s="3"/>
      <c r="P25" s="3"/>
      <c r="Q25" s="16"/>
      <c r="S25" s="17" t="s">
        <v>18</v>
      </c>
      <c r="T25" s="97" t="s">
        <v>92</v>
      </c>
      <c r="U25" s="97"/>
    </row>
    <row r="26" spans="2:21" outlineLevel="1" x14ac:dyDescent="0.35">
      <c r="B26" s="17" t="s">
        <v>19</v>
      </c>
      <c r="C26" s="58"/>
      <c r="D26" s="89"/>
      <c r="E26" s="90"/>
      <c r="F26" s="90"/>
      <c r="G26" s="90"/>
      <c r="H26" s="91"/>
      <c r="I26" s="65"/>
      <c r="J26" s="3"/>
      <c r="K26" s="3"/>
      <c r="L26" s="3"/>
      <c r="M26" s="3"/>
      <c r="N26" s="3"/>
      <c r="O26" s="3"/>
      <c r="P26" s="3"/>
      <c r="Q26" s="16"/>
      <c r="S26" s="17" t="s">
        <v>19</v>
      </c>
      <c r="T26" s="97" t="s">
        <v>92</v>
      </c>
      <c r="U26" s="97"/>
    </row>
    <row r="27" spans="2:21" outlineLevel="1" x14ac:dyDescent="0.35">
      <c r="B27" s="17" t="s">
        <v>20</v>
      </c>
      <c r="C27" s="58"/>
      <c r="D27" s="89"/>
      <c r="E27" s="90"/>
      <c r="F27" s="90"/>
      <c r="G27" s="90"/>
      <c r="H27" s="91"/>
      <c r="I27" s="65"/>
      <c r="J27" s="3"/>
      <c r="K27" s="3"/>
      <c r="L27" s="3"/>
      <c r="M27" s="3"/>
      <c r="N27" s="3"/>
      <c r="O27" s="3"/>
      <c r="P27" s="3"/>
      <c r="Q27" s="16"/>
      <c r="S27" s="17" t="s">
        <v>20</v>
      </c>
      <c r="T27" s="97" t="s">
        <v>92</v>
      </c>
      <c r="U27" s="97"/>
    </row>
    <row r="28" spans="2:21" outlineLevel="1" x14ac:dyDescent="0.35">
      <c r="B28" s="17" t="s">
        <v>21</v>
      </c>
      <c r="C28" s="58"/>
      <c r="D28" s="89"/>
      <c r="E28" s="90"/>
      <c r="F28" s="90"/>
      <c r="G28" s="90"/>
      <c r="H28" s="91"/>
      <c r="I28" s="65"/>
      <c r="J28" s="3"/>
      <c r="K28" s="3"/>
      <c r="L28" s="3"/>
      <c r="M28" s="3"/>
      <c r="N28" s="3"/>
      <c r="O28" s="3"/>
      <c r="P28" s="3"/>
      <c r="Q28" s="16"/>
      <c r="S28" s="17" t="s">
        <v>21</v>
      </c>
      <c r="T28" s="97" t="s">
        <v>92</v>
      </c>
      <c r="U28" s="97"/>
    </row>
    <row r="29" spans="2:21" outlineLevel="1" x14ac:dyDescent="0.35">
      <c r="B29" s="17" t="s">
        <v>22</v>
      </c>
      <c r="C29" s="58"/>
      <c r="D29" s="89"/>
      <c r="E29" s="90"/>
      <c r="F29" s="90"/>
      <c r="G29" s="90"/>
      <c r="H29" s="91"/>
      <c r="I29" s="65"/>
      <c r="J29" s="3"/>
      <c r="K29" s="3"/>
      <c r="L29" s="3"/>
      <c r="M29" s="3"/>
      <c r="N29" s="3"/>
      <c r="O29" s="3"/>
      <c r="P29" s="3"/>
      <c r="Q29" s="16"/>
      <c r="S29" s="17" t="s">
        <v>22</v>
      </c>
      <c r="T29" s="97" t="s">
        <v>92</v>
      </c>
      <c r="U29" s="97"/>
    </row>
    <row r="30" spans="2:21" x14ac:dyDescent="0.35">
      <c r="B30" s="41" t="s">
        <v>63</v>
      </c>
      <c r="C30" s="58"/>
      <c r="D30" s="76">
        <f>SUM(D24:D29)</f>
        <v>0</v>
      </c>
      <c r="E30" s="3">
        <f t="shared" ref="E30:Q30" si="12">SUM(E24:E29)</f>
        <v>0</v>
      </c>
      <c r="F30" s="3">
        <f t="shared" si="12"/>
        <v>0</v>
      </c>
      <c r="G30" s="3">
        <f t="shared" si="12"/>
        <v>0</v>
      </c>
      <c r="H30" s="16">
        <f t="shared" si="12"/>
        <v>0</v>
      </c>
      <c r="I30" s="65">
        <f t="shared" si="12"/>
        <v>0</v>
      </c>
      <c r="J30" s="3">
        <f t="shared" si="12"/>
        <v>0</v>
      </c>
      <c r="K30" s="3">
        <f t="shared" si="12"/>
        <v>0</v>
      </c>
      <c r="L30" s="3">
        <f t="shared" si="12"/>
        <v>0</v>
      </c>
      <c r="M30" s="3">
        <f t="shared" si="12"/>
        <v>0</v>
      </c>
      <c r="N30" s="3">
        <f t="shared" si="12"/>
        <v>0</v>
      </c>
      <c r="O30" s="3">
        <f t="shared" si="12"/>
        <v>0</v>
      </c>
      <c r="P30" s="3">
        <f t="shared" si="12"/>
        <v>0</v>
      </c>
      <c r="Q30" s="16">
        <f t="shared" si="12"/>
        <v>0</v>
      </c>
    </row>
    <row r="31" spans="2:21" ht="6" customHeight="1" x14ac:dyDescent="0.35">
      <c r="B31" s="22"/>
      <c r="C31" s="10"/>
      <c r="D31" s="79"/>
      <c r="E31" s="10"/>
      <c r="F31" s="10"/>
      <c r="G31" s="10"/>
      <c r="H31" s="23"/>
      <c r="I31" s="10"/>
      <c r="J31" s="10"/>
      <c r="K31" s="10"/>
      <c r="L31" s="10"/>
      <c r="M31" s="10"/>
      <c r="N31" s="10"/>
      <c r="O31" s="10"/>
      <c r="P31" s="10"/>
      <c r="Q31" s="23"/>
    </row>
    <row r="32" spans="2:21" outlineLevel="1" x14ac:dyDescent="0.35">
      <c r="B32" s="21" t="s">
        <v>52</v>
      </c>
      <c r="C32" s="58"/>
      <c r="D32" s="76"/>
      <c r="E32" s="3"/>
      <c r="F32" s="3"/>
      <c r="G32" s="3"/>
      <c r="H32" s="16"/>
      <c r="I32" s="65"/>
      <c r="J32" s="3"/>
      <c r="K32" s="3"/>
      <c r="L32" s="3"/>
      <c r="M32" s="3"/>
      <c r="N32" s="3"/>
      <c r="O32" s="3"/>
      <c r="P32" s="3"/>
      <c r="Q32" s="16"/>
      <c r="S32" s="21" t="s">
        <v>52</v>
      </c>
      <c r="T32" s="96" t="s">
        <v>91</v>
      </c>
      <c r="U32" s="96" t="s">
        <v>93</v>
      </c>
    </row>
    <row r="33" spans="2:21" ht="43.5" outlineLevel="1" x14ac:dyDescent="0.35">
      <c r="B33" s="17" t="s">
        <v>130</v>
      </c>
      <c r="C33" s="58"/>
      <c r="D33" s="89">
        <v>3600</v>
      </c>
      <c r="E33" s="90">
        <v>3600</v>
      </c>
      <c r="F33" s="90">
        <v>4800</v>
      </c>
      <c r="G33" s="90">
        <v>6000</v>
      </c>
      <c r="H33" s="91">
        <v>6000</v>
      </c>
      <c r="I33" s="65"/>
      <c r="J33" s="3"/>
      <c r="K33" s="3"/>
      <c r="L33" s="3"/>
      <c r="M33" s="3"/>
      <c r="N33" s="3"/>
      <c r="O33" s="3"/>
      <c r="P33" s="3"/>
      <c r="Q33" s="16"/>
      <c r="S33" s="17" t="s">
        <v>23</v>
      </c>
      <c r="T33" s="97" t="s">
        <v>92</v>
      </c>
      <c r="U33" s="114" t="s">
        <v>108</v>
      </c>
    </row>
    <row r="34" spans="2:21" outlineLevel="1" x14ac:dyDescent="0.35">
      <c r="B34" s="17" t="s">
        <v>57</v>
      </c>
      <c r="C34" s="58"/>
      <c r="D34" s="89"/>
      <c r="E34" s="90"/>
      <c r="F34" s="90"/>
      <c r="G34" s="90"/>
      <c r="H34" s="91"/>
      <c r="I34" s="65"/>
      <c r="J34" s="3"/>
      <c r="K34" s="3"/>
      <c r="L34" s="3"/>
      <c r="M34" s="3"/>
      <c r="N34" s="3"/>
      <c r="O34" s="3"/>
      <c r="P34" s="3"/>
      <c r="Q34" s="16"/>
      <c r="S34" s="17" t="s">
        <v>57</v>
      </c>
      <c r="T34" s="97" t="s">
        <v>92</v>
      </c>
      <c r="U34" s="97"/>
    </row>
    <row r="35" spans="2:21" outlineLevel="1" x14ac:dyDescent="0.35">
      <c r="B35" s="17" t="s">
        <v>58</v>
      </c>
      <c r="C35" s="58"/>
      <c r="D35" s="89"/>
      <c r="E35" s="90"/>
      <c r="F35" s="90"/>
      <c r="G35" s="90"/>
      <c r="H35" s="91"/>
      <c r="I35" s="65"/>
      <c r="J35" s="3"/>
      <c r="K35" s="3"/>
      <c r="L35" s="3"/>
      <c r="M35" s="3"/>
      <c r="N35" s="3"/>
      <c r="O35" s="3"/>
      <c r="P35" s="3"/>
      <c r="Q35" s="16"/>
      <c r="S35" s="17" t="s">
        <v>58</v>
      </c>
      <c r="T35" s="97" t="s">
        <v>92</v>
      </c>
      <c r="U35" s="97"/>
    </row>
    <row r="36" spans="2:21" outlineLevel="1" x14ac:dyDescent="0.35">
      <c r="B36" s="17" t="s">
        <v>24</v>
      </c>
      <c r="C36" s="58"/>
      <c r="D36" s="89"/>
      <c r="E36" s="90"/>
      <c r="F36" s="90"/>
      <c r="G36" s="90"/>
      <c r="H36" s="91"/>
      <c r="I36" s="65"/>
      <c r="J36" s="3"/>
      <c r="K36" s="3"/>
      <c r="L36" s="3"/>
      <c r="M36" s="3"/>
      <c r="N36" s="3"/>
      <c r="O36" s="3"/>
      <c r="P36" s="3"/>
      <c r="Q36" s="16"/>
      <c r="S36" s="17" t="s">
        <v>24</v>
      </c>
      <c r="T36" s="97" t="s">
        <v>92</v>
      </c>
      <c r="U36" s="97"/>
    </row>
    <row r="37" spans="2:21" outlineLevel="1" x14ac:dyDescent="0.35">
      <c r="B37" s="17" t="s">
        <v>25</v>
      </c>
      <c r="C37" s="58"/>
      <c r="D37" s="89"/>
      <c r="E37" s="90"/>
      <c r="F37" s="90"/>
      <c r="G37" s="90"/>
      <c r="H37" s="91"/>
      <c r="I37" s="65"/>
      <c r="J37" s="3"/>
      <c r="K37" s="3"/>
      <c r="L37" s="3"/>
      <c r="M37" s="3"/>
      <c r="N37" s="3"/>
      <c r="O37" s="3"/>
      <c r="P37" s="3"/>
      <c r="Q37" s="16"/>
      <c r="S37" s="17" t="s">
        <v>25</v>
      </c>
      <c r="T37" s="97" t="s">
        <v>92</v>
      </c>
      <c r="U37" s="97"/>
    </row>
    <row r="38" spans="2:21" outlineLevel="1" x14ac:dyDescent="0.35">
      <c r="B38" s="17" t="s">
        <v>26</v>
      </c>
      <c r="C38" s="58"/>
      <c r="D38" s="89"/>
      <c r="E38" s="90"/>
      <c r="F38" s="90"/>
      <c r="G38" s="90"/>
      <c r="H38" s="91"/>
      <c r="I38" s="65"/>
      <c r="J38" s="3"/>
      <c r="K38" s="3"/>
      <c r="L38" s="3"/>
      <c r="M38" s="3"/>
      <c r="N38" s="3"/>
      <c r="O38" s="3"/>
      <c r="P38" s="3"/>
      <c r="Q38" s="16"/>
      <c r="S38" s="17" t="s">
        <v>26</v>
      </c>
      <c r="T38" s="97" t="s">
        <v>92</v>
      </c>
      <c r="U38" s="97"/>
    </row>
    <row r="39" spans="2:21" outlineLevel="1" x14ac:dyDescent="0.35">
      <c r="B39" s="17" t="s">
        <v>27</v>
      </c>
      <c r="C39" s="58"/>
      <c r="D39" s="89"/>
      <c r="E39" s="90"/>
      <c r="F39" s="90"/>
      <c r="G39" s="90"/>
      <c r="H39" s="91"/>
      <c r="I39" s="65"/>
      <c r="J39" s="3"/>
      <c r="K39" s="3"/>
      <c r="L39" s="3"/>
      <c r="M39" s="3"/>
      <c r="N39" s="3"/>
      <c r="O39" s="3"/>
      <c r="P39" s="3"/>
      <c r="Q39" s="16"/>
      <c r="S39" s="17" t="s">
        <v>27</v>
      </c>
      <c r="T39" s="97" t="s">
        <v>92</v>
      </c>
      <c r="U39" s="97"/>
    </row>
    <row r="40" spans="2:21" outlineLevel="1" x14ac:dyDescent="0.35">
      <c r="B40" s="17" t="s">
        <v>28</v>
      </c>
      <c r="C40" s="58"/>
      <c r="D40" s="89"/>
      <c r="E40" s="90"/>
      <c r="F40" s="90"/>
      <c r="G40" s="90"/>
      <c r="H40" s="91"/>
      <c r="I40" s="65"/>
      <c r="J40" s="3"/>
      <c r="K40" s="3"/>
      <c r="L40" s="3"/>
      <c r="M40" s="3"/>
      <c r="N40" s="3"/>
      <c r="O40" s="3"/>
      <c r="P40" s="3"/>
      <c r="Q40" s="16"/>
      <c r="S40" s="17" t="s">
        <v>28</v>
      </c>
      <c r="T40" s="97" t="s">
        <v>92</v>
      </c>
      <c r="U40" s="97"/>
    </row>
    <row r="41" spans="2:21" outlineLevel="1" x14ac:dyDescent="0.35">
      <c r="B41" s="17" t="s">
        <v>29</v>
      </c>
      <c r="C41" s="58"/>
      <c r="D41" s="89"/>
      <c r="E41" s="90"/>
      <c r="F41" s="90"/>
      <c r="G41" s="90"/>
      <c r="H41" s="91"/>
      <c r="I41" s="65"/>
      <c r="J41" s="3"/>
      <c r="K41" s="3"/>
      <c r="L41" s="3"/>
      <c r="M41" s="3"/>
      <c r="N41" s="3"/>
      <c r="O41" s="3"/>
      <c r="P41" s="3"/>
      <c r="Q41" s="16"/>
      <c r="S41" s="17" t="s">
        <v>29</v>
      </c>
      <c r="T41" s="97" t="s">
        <v>92</v>
      </c>
      <c r="U41" s="97"/>
    </row>
    <row r="42" spans="2:21" outlineLevel="1" x14ac:dyDescent="0.35">
      <c r="B42" s="17" t="s">
        <v>30</v>
      </c>
      <c r="C42" s="58"/>
      <c r="D42" s="89"/>
      <c r="E42" s="90"/>
      <c r="F42" s="90"/>
      <c r="G42" s="90"/>
      <c r="H42" s="91"/>
      <c r="I42" s="65"/>
      <c r="J42" s="3"/>
      <c r="K42" s="3"/>
      <c r="L42" s="3"/>
      <c r="M42" s="3"/>
      <c r="N42" s="3"/>
      <c r="O42" s="3"/>
      <c r="P42" s="3"/>
      <c r="Q42" s="16"/>
      <c r="S42" s="17" t="s">
        <v>30</v>
      </c>
      <c r="T42" s="97" t="s">
        <v>92</v>
      </c>
      <c r="U42" s="97"/>
    </row>
    <row r="43" spans="2:21" outlineLevel="1" x14ac:dyDescent="0.35">
      <c r="B43" s="17" t="s">
        <v>31</v>
      </c>
      <c r="C43" s="58"/>
      <c r="D43" s="89"/>
      <c r="E43" s="90"/>
      <c r="F43" s="90"/>
      <c r="G43" s="90"/>
      <c r="H43" s="91"/>
      <c r="I43" s="65"/>
      <c r="J43" s="3"/>
      <c r="K43" s="3"/>
      <c r="L43" s="3"/>
      <c r="M43" s="3"/>
      <c r="N43" s="3"/>
      <c r="O43" s="3"/>
      <c r="P43" s="3"/>
      <c r="Q43" s="16"/>
      <c r="S43" s="17" t="s">
        <v>31</v>
      </c>
      <c r="T43" s="97" t="s">
        <v>92</v>
      </c>
      <c r="U43" s="97"/>
    </row>
    <row r="44" spans="2:21" outlineLevel="1" x14ac:dyDescent="0.35">
      <c r="B44" s="17" t="s">
        <v>32</v>
      </c>
      <c r="C44" s="58"/>
      <c r="D44" s="89"/>
      <c r="E44" s="90"/>
      <c r="F44" s="90"/>
      <c r="G44" s="90"/>
      <c r="H44" s="91"/>
      <c r="I44" s="65"/>
      <c r="J44" s="3"/>
      <c r="K44" s="3"/>
      <c r="L44" s="3"/>
      <c r="M44" s="3"/>
      <c r="N44" s="3"/>
      <c r="O44" s="3"/>
      <c r="P44" s="3"/>
      <c r="Q44" s="16"/>
      <c r="S44" s="17" t="s">
        <v>32</v>
      </c>
      <c r="T44" s="97" t="s">
        <v>92</v>
      </c>
      <c r="U44" s="97"/>
    </row>
    <row r="45" spans="2:21" outlineLevel="1" x14ac:dyDescent="0.35">
      <c r="B45" s="17" t="s">
        <v>33</v>
      </c>
      <c r="C45" s="58"/>
      <c r="D45" s="89"/>
      <c r="E45" s="90"/>
      <c r="F45" s="90"/>
      <c r="G45" s="90"/>
      <c r="H45" s="91"/>
      <c r="I45" s="65"/>
      <c r="J45" s="3"/>
      <c r="K45" s="3"/>
      <c r="L45" s="3"/>
      <c r="M45" s="3"/>
      <c r="N45" s="3"/>
      <c r="O45" s="3"/>
      <c r="P45" s="3"/>
      <c r="Q45" s="16"/>
      <c r="S45" s="17" t="s">
        <v>33</v>
      </c>
      <c r="T45" s="97" t="s">
        <v>92</v>
      </c>
      <c r="U45" s="97"/>
    </row>
    <row r="46" spans="2:21" outlineLevel="1" x14ac:dyDescent="0.35">
      <c r="B46" s="17" t="s">
        <v>34</v>
      </c>
      <c r="C46" s="58"/>
      <c r="D46" s="89"/>
      <c r="E46" s="90"/>
      <c r="F46" s="90"/>
      <c r="G46" s="90"/>
      <c r="H46" s="91"/>
      <c r="I46" s="65"/>
      <c r="J46" s="3"/>
      <c r="K46" s="3"/>
      <c r="L46" s="3"/>
      <c r="M46" s="3"/>
      <c r="N46" s="3"/>
      <c r="O46" s="3"/>
      <c r="P46" s="3"/>
      <c r="Q46" s="16"/>
      <c r="S46" s="17" t="s">
        <v>34</v>
      </c>
      <c r="T46" s="97" t="s">
        <v>92</v>
      </c>
      <c r="U46" s="97"/>
    </row>
    <row r="47" spans="2:21" outlineLevel="1" x14ac:dyDescent="0.35">
      <c r="B47" s="17" t="s">
        <v>35</v>
      </c>
      <c r="C47" s="58"/>
      <c r="D47" s="89"/>
      <c r="E47" s="90"/>
      <c r="F47" s="90"/>
      <c r="G47" s="90"/>
      <c r="H47" s="91"/>
      <c r="I47" s="65"/>
      <c r="J47" s="3"/>
      <c r="K47" s="3"/>
      <c r="L47" s="3"/>
      <c r="M47" s="3"/>
      <c r="N47" s="3"/>
      <c r="O47" s="3"/>
      <c r="P47" s="3"/>
      <c r="Q47" s="16"/>
      <c r="S47" s="17" t="s">
        <v>35</v>
      </c>
      <c r="T47" s="97" t="s">
        <v>92</v>
      </c>
      <c r="U47" s="97"/>
    </row>
    <row r="48" spans="2:21" outlineLevel="1" x14ac:dyDescent="0.35">
      <c r="B48" s="17" t="s">
        <v>64</v>
      </c>
      <c r="C48" s="58"/>
      <c r="D48" s="89"/>
      <c r="E48" s="90"/>
      <c r="F48" s="90"/>
      <c r="G48" s="90"/>
      <c r="H48" s="91"/>
      <c r="I48" s="65"/>
      <c r="J48" s="3"/>
      <c r="K48" s="3"/>
      <c r="L48" s="3"/>
      <c r="M48" s="3"/>
      <c r="N48" s="3"/>
      <c r="O48" s="3"/>
      <c r="P48" s="3"/>
      <c r="Q48" s="16"/>
      <c r="S48" s="17" t="s">
        <v>64</v>
      </c>
      <c r="T48" s="97" t="s">
        <v>92</v>
      </c>
      <c r="U48" s="97"/>
    </row>
    <row r="49" spans="2:21" outlineLevel="1" x14ac:dyDescent="0.35">
      <c r="B49" s="17" t="s">
        <v>36</v>
      </c>
      <c r="C49" s="58"/>
      <c r="D49" s="89"/>
      <c r="E49" s="90"/>
      <c r="F49" s="90"/>
      <c r="G49" s="90"/>
      <c r="H49" s="91"/>
      <c r="I49" s="65"/>
      <c r="J49" s="3"/>
      <c r="K49" s="3"/>
      <c r="L49" s="3"/>
      <c r="M49" s="3"/>
      <c r="N49" s="3"/>
      <c r="O49" s="3"/>
      <c r="P49" s="3"/>
      <c r="Q49" s="16"/>
      <c r="S49" s="17" t="s">
        <v>36</v>
      </c>
      <c r="T49" s="97" t="s">
        <v>92</v>
      </c>
      <c r="U49" s="97"/>
    </row>
    <row r="50" spans="2:21" outlineLevel="1" x14ac:dyDescent="0.35">
      <c r="B50" s="17" t="s">
        <v>37</v>
      </c>
      <c r="C50" s="58"/>
      <c r="D50" s="89"/>
      <c r="E50" s="90"/>
      <c r="F50" s="90"/>
      <c r="G50" s="90"/>
      <c r="H50" s="91"/>
      <c r="I50" s="65"/>
      <c r="J50" s="3"/>
      <c r="K50" s="3"/>
      <c r="L50" s="3"/>
      <c r="M50" s="3"/>
      <c r="N50" s="3"/>
      <c r="O50" s="3"/>
      <c r="P50" s="3"/>
      <c r="Q50" s="16"/>
      <c r="S50" s="17" t="s">
        <v>37</v>
      </c>
      <c r="T50" s="97" t="s">
        <v>92</v>
      </c>
      <c r="U50" s="97"/>
    </row>
    <row r="51" spans="2:21" outlineLevel="1" x14ac:dyDescent="0.35">
      <c r="B51" s="17" t="s">
        <v>38</v>
      </c>
      <c r="C51" s="58"/>
      <c r="D51" s="89">
        <v>6000</v>
      </c>
      <c r="E51" s="90">
        <v>2000</v>
      </c>
      <c r="F51" s="90">
        <v>2500</v>
      </c>
      <c r="G51" s="90">
        <v>2000</v>
      </c>
      <c r="H51" s="91">
        <v>2000</v>
      </c>
      <c r="I51" s="65"/>
      <c r="J51" s="3"/>
      <c r="K51" s="3"/>
      <c r="L51" s="3"/>
      <c r="M51" s="3"/>
      <c r="N51" s="3"/>
      <c r="O51" s="3"/>
      <c r="P51" s="3"/>
      <c r="Q51" s="16"/>
      <c r="S51" s="17" t="s">
        <v>38</v>
      </c>
      <c r="T51" s="97" t="s">
        <v>92</v>
      </c>
      <c r="U51" s="108" t="s">
        <v>96</v>
      </c>
    </row>
    <row r="52" spans="2:21" outlineLevel="1" x14ac:dyDescent="0.35">
      <c r="B52" s="17" t="s">
        <v>39</v>
      </c>
      <c r="C52" s="58"/>
      <c r="D52" s="89"/>
      <c r="E52" s="90"/>
      <c r="F52" s="90"/>
      <c r="G52" s="90"/>
      <c r="H52" s="91"/>
      <c r="I52" s="65"/>
      <c r="J52" s="3"/>
      <c r="K52" s="3"/>
      <c r="L52" s="3"/>
      <c r="M52" s="3"/>
      <c r="N52" s="3"/>
      <c r="O52" s="3"/>
      <c r="P52" s="3"/>
      <c r="Q52" s="16"/>
      <c r="S52" s="17" t="s">
        <v>39</v>
      </c>
      <c r="T52" s="97" t="s">
        <v>92</v>
      </c>
      <c r="U52" s="97"/>
    </row>
    <row r="53" spans="2:21" outlineLevel="1" x14ac:dyDescent="0.35">
      <c r="B53" s="17" t="s">
        <v>40</v>
      </c>
      <c r="C53" s="58"/>
      <c r="D53" s="89"/>
      <c r="E53" s="90"/>
      <c r="F53" s="90"/>
      <c r="G53" s="90"/>
      <c r="H53" s="91"/>
      <c r="I53" s="65"/>
      <c r="J53" s="3"/>
      <c r="K53" s="3"/>
      <c r="L53" s="3"/>
      <c r="M53" s="3"/>
      <c r="N53" s="3"/>
      <c r="O53" s="3"/>
      <c r="P53" s="3"/>
      <c r="Q53" s="16"/>
      <c r="S53" s="17" t="s">
        <v>40</v>
      </c>
      <c r="T53" s="97" t="s">
        <v>92</v>
      </c>
      <c r="U53" s="97"/>
    </row>
    <row r="54" spans="2:21" outlineLevel="1" x14ac:dyDescent="0.35">
      <c r="B54" s="17" t="s">
        <v>11</v>
      </c>
      <c r="C54" s="58"/>
      <c r="D54" s="89">
        <v>1200</v>
      </c>
      <c r="E54" s="90">
        <v>1200</v>
      </c>
      <c r="F54" s="90">
        <v>1200</v>
      </c>
      <c r="G54" s="90">
        <v>1200</v>
      </c>
      <c r="H54" s="91">
        <v>1200</v>
      </c>
      <c r="I54" s="65"/>
      <c r="J54" s="3"/>
      <c r="K54" s="3"/>
      <c r="L54" s="3"/>
      <c r="M54" s="3"/>
      <c r="N54" s="3"/>
      <c r="O54" s="3"/>
      <c r="P54" s="3"/>
      <c r="Q54" s="16"/>
      <c r="S54" s="17" t="s">
        <v>11</v>
      </c>
      <c r="T54" s="97" t="s">
        <v>92</v>
      </c>
      <c r="U54" s="97"/>
    </row>
    <row r="55" spans="2:21" x14ac:dyDescent="0.35">
      <c r="B55" s="41" t="s">
        <v>53</v>
      </c>
      <c r="C55" s="58"/>
      <c r="D55" s="76">
        <f>SUM(D33:D54)</f>
        <v>10800</v>
      </c>
      <c r="E55" s="3">
        <f t="shared" ref="E55:Q55" si="13">SUM(E33:E54)</f>
        <v>6800</v>
      </c>
      <c r="F55" s="3">
        <f t="shared" si="13"/>
        <v>8500</v>
      </c>
      <c r="G55" s="3">
        <f t="shared" si="13"/>
        <v>9200</v>
      </c>
      <c r="H55" s="16">
        <f t="shared" si="13"/>
        <v>9200</v>
      </c>
      <c r="I55" s="65">
        <f t="shared" si="13"/>
        <v>0</v>
      </c>
      <c r="J55" s="3">
        <f t="shared" si="13"/>
        <v>0</v>
      </c>
      <c r="K55" s="3">
        <f t="shared" si="13"/>
        <v>0</v>
      </c>
      <c r="L55" s="3">
        <f t="shared" si="13"/>
        <v>0</v>
      </c>
      <c r="M55" s="3">
        <f t="shared" si="13"/>
        <v>0</v>
      </c>
      <c r="N55" s="3">
        <f t="shared" si="13"/>
        <v>0</v>
      </c>
      <c r="O55" s="3">
        <f t="shared" si="13"/>
        <v>0</v>
      </c>
      <c r="P55" s="3">
        <f t="shared" si="13"/>
        <v>0</v>
      </c>
      <c r="Q55" s="16">
        <f t="shared" si="13"/>
        <v>0</v>
      </c>
    </row>
    <row r="56" spans="2:21" x14ac:dyDescent="0.35">
      <c r="B56" s="41" t="s">
        <v>54</v>
      </c>
      <c r="C56" s="58"/>
      <c r="D56" s="76">
        <f>SUM(D55,D30)</f>
        <v>10800</v>
      </c>
      <c r="E56" s="3">
        <f t="shared" ref="E56:Q56" si="14">SUM(E55,E30)</f>
        <v>6800</v>
      </c>
      <c r="F56" s="3">
        <f t="shared" si="14"/>
        <v>8500</v>
      </c>
      <c r="G56" s="3">
        <f t="shared" si="14"/>
        <v>9200</v>
      </c>
      <c r="H56" s="16">
        <f t="shared" si="14"/>
        <v>9200</v>
      </c>
      <c r="I56" s="65">
        <f t="shared" si="14"/>
        <v>0</v>
      </c>
      <c r="J56" s="3">
        <f t="shared" si="14"/>
        <v>0</v>
      </c>
      <c r="K56" s="3">
        <f t="shared" si="14"/>
        <v>0</v>
      </c>
      <c r="L56" s="3">
        <f t="shared" si="14"/>
        <v>0</v>
      </c>
      <c r="M56" s="3">
        <f t="shared" si="14"/>
        <v>0</v>
      </c>
      <c r="N56" s="3">
        <f t="shared" si="14"/>
        <v>0</v>
      </c>
      <c r="O56" s="3">
        <f t="shared" si="14"/>
        <v>0</v>
      </c>
      <c r="P56" s="3">
        <f t="shared" si="14"/>
        <v>0</v>
      </c>
      <c r="Q56" s="16">
        <f t="shared" si="14"/>
        <v>0</v>
      </c>
    </row>
    <row r="57" spans="2:21" ht="6" customHeight="1" x14ac:dyDescent="0.35">
      <c r="B57" s="22"/>
      <c r="C57" s="10"/>
      <c r="D57" s="79"/>
      <c r="E57" s="10"/>
      <c r="F57" s="10"/>
      <c r="G57" s="10"/>
      <c r="H57" s="23"/>
      <c r="I57" s="10"/>
      <c r="J57" s="10"/>
      <c r="K57" s="10"/>
      <c r="L57" s="10"/>
      <c r="M57" s="10"/>
      <c r="N57" s="10"/>
      <c r="O57" s="10"/>
      <c r="P57" s="10"/>
      <c r="Q57" s="23"/>
    </row>
    <row r="58" spans="2:21" x14ac:dyDescent="0.35">
      <c r="B58" s="40" t="s">
        <v>41</v>
      </c>
      <c r="C58" s="60"/>
      <c r="D58" s="80">
        <f t="shared" ref="D58:Q58" si="15">D21-D56</f>
        <v>-400</v>
      </c>
      <c r="E58" s="2">
        <f t="shared" si="15"/>
        <v>14800</v>
      </c>
      <c r="F58" s="2">
        <f t="shared" si="15"/>
        <v>19100</v>
      </c>
      <c r="G58" s="2">
        <f t="shared" si="15"/>
        <v>22400</v>
      </c>
      <c r="H58" s="20">
        <f t="shared" si="15"/>
        <v>26300</v>
      </c>
      <c r="I58" s="68">
        <f t="shared" si="15"/>
        <v>0</v>
      </c>
      <c r="J58" s="2">
        <f t="shared" si="15"/>
        <v>0</v>
      </c>
      <c r="K58" s="2">
        <f t="shared" si="15"/>
        <v>0</v>
      </c>
      <c r="L58" s="2">
        <f t="shared" si="15"/>
        <v>0</v>
      </c>
      <c r="M58" s="2">
        <f t="shared" si="15"/>
        <v>0</v>
      </c>
      <c r="N58" s="2">
        <f t="shared" si="15"/>
        <v>0</v>
      </c>
      <c r="O58" s="2">
        <f t="shared" si="15"/>
        <v>0</v>
      </c>
      <c r="P58" s="2">
        <f t="shared" si="15"/>
        <v>0</v>
      </c>
      <c r="Q58" s="20">
        <f t="shared" si="15"/>
        <v>0</v>
      </c>
    </row>
    <row r="59" spans="2:21" x14ac:dyDescent="0.35">
      <c r="B59" s="41" t="s">
        <v>42</v>
      </c>
      <c r="C59" s="61"/>
      <c r="D59" s="81">
        <f t="shared" ref="D59:Q59" si="16">D58/D9</f>
        <v>-3.3057851239669422E-2</v>
      </c>
      <c r="E59" s="31">
        <f t="shared" si="16"/>
        <v>0.63519313304721026</v>
      </c>
      <c r="F59" s="31">
        <f t="shared" si="16"/>
        <v>0.64965986394557829</v>
      </c>
      <c r="G59" s="31">
        <f t="shared" si="16"/>
        <v>0.6706586826347305</v>
      </c>
      <c r="H59" s="32">
        <f t="shared" si="16"/>
        <v>0.70320855614973266</v>
      </c>
      <c r="I59" s="69" t="e">
        <f t="shared" si="16"/>
        <v>#DIV/0!</v>
      </c>
      <c r="J59" s="31" t="e">
        <f t="shared" si="16"/>
        <v>#DIV/0!</v>
      </c>
      <c r="K59" s="31" t="e">
        <f t="shared" si="16"/>
        <v>#DIV/0!</v>
      </c>
      <c r="L59" s="31" t="e">
        <f t="shared" si="16"/>
        <v>#DIV/0!</v>
      </c>
      <c r="M59" s="31" t="e">
        <f t="shared" si="16"/>
        <v>#DIV/0!</v>
      </c>
      <c r="N59" s="31" t="e">
        <f t="shared" si="16"/>
        <v>#DIV/0!</v>
      </c>
      <c r="O59" s="31" t="e">
        <f t="shared" si="16"/>
        <v>#DIV/0!</v>
      </c>
      <c r="P59" s="31" t="e">
        <f t="shared" si="16"/>
        <v>#DIV/0!</v>
      </c>
      <c r="Q59" s="32" t="e">
        <f t="shared" si="16"/>
        <v>#DIV/0!</v>
      </c>
    </row>
    <row r="60" spans="2:21" ht="6" customHeight="1" x14ac:dyDescent="0.35">
      <c r="B60" s="22"/>
      <c r="C60" s="10"/>
      <c r="D60" s="79"/>
      <c r="E60" s="10"/>
      <c r="F60" s="10"/>
      <c r="G60" s="10"/>
      <c r="H60" s="23"/>
      <c r="I60" s="10"/>
      <c r="J60" s="10"/>
      <c r="K60" s="10"/>
      <c r="L60" s="10"/>
      <c r="M60" s="10"/>
      <c r="N60" s="10"/>
      <c r="O60" s="10"/>
      <c r="P60" s="10"/>
      <c r="Q60" s="23"/>
    </row>
    <row r="61" spans="2:21" x14ac:dyDescent="0.35">
      <c r="B61" s="41" t="s">
        <v>43</v>
      </c>
      <c r="C61" s="58"/>
      <c r="D61" s="76">
        <f>D80</f>
        <v>1000</v>
      </c>
      <c r="E61" s="3">
        <f t="shared" ref="E61:H61" si="17">E80</f>
        <v>1500</v>
      </c>
      <c r="F61" s="3">
        <f t="shared" si="17"/>
        <v>2000</v>
      </c>
      <c r="G61" s="3">
        <f t="shared" si="17"/>
        <v>1666.6666666666665</v>
      </c>
      <c r="H61" s="16">
        <f t="shared" si="17"/>
        <v>1666.6666666666665</v>
      </c>
      <c r="I61" s="65">
        <f t="shared" ref="I61:Q61" si="18">$D$80</f>
        <v>1000</v>
      </c>
      <c r="J61" s="3">
        <f t="shared" si="18"/>
        <v>1000</v>
      </c>
      <c r="K61" s="3">
        <f t="shared" si="18"/>
        <v>1000</v>
      </c>
      <c r="L61" s="3">
        <f t="shared" si="18"/>
        <v>1000</v>
      </c>
      <c r="M61" s="3">
        <f t="shared" si="18"/>
        <v>1000</v>
      </c>
      <c r="N61" s="3">
        <f t="shared" si="18"/>
        <v>1000</v>
      </c>
      <c r="O61" s="3">
        <f t="shared" si="18"/>
        <v>1000</v>
      </c>
      <c r="P61" s="3">
        <f t="shared" si="18"/>
        <v>1000</v>
      </c>
      <c r="Q61" s="16">
        <f t="shared" si="18"/>
        <v>1000</v>
      </c>
    </row>
    <row r="62" spans="2:21" x14ac:dyDescent="0.35">
      <c r="B62" s="41" t="s">
        <v>44</v>
      </c>
      <c r="C62" s="58"/>
      <c r="D62" s="76"/>
      <c r="E62" s="3"/>
      <c r="F62" s="3"/>
      <c r="G62" s="3"/>
      <c r="H62" s="16"/>
      <c r="I62" s="65"/>
      <c r="J62" s="3"/>
      <c r="K62" s="3"/>
      <c r="L62" s="3"/>
      <c r="M62" s="3"/>
      <c r="N62" s="3"/>
      <c r="O62" s="3"/>
      <c r="P62" s="3"/>
      <c r="Q62" s="16"/>
    </row>
    <row r="63" spans="2:21" ht="6" customHeight="1" x14ac:dyDescent="0.35">
      <c r="B63" s="22"/>
      <c r="C63" s="10"/>
      <c r="D63" s="79"/>
      <c r="E63" s="10"/>
      <c r="F63" s="10"/>
      <c r="G63" s="10"/>
      <c r="H63" s="23"/>
      <c r="I63" s="10"/>
      <c r="J63" s="10"/>
      <c r="K63" s="10"/>
      <c r="L63" s="10"/>
      <c r="M63" s="10"/>
      <c r="N63" s="10"/>
      <c r="O63" s="10"/>
      <c r="P63" s="10"/>
      <c r="Q63" s="23"/>
    </row>
    <row r="64" spans="2:21" x14ac:dyDescent="0.35">
      <c r="B64" s="42" t="s">
        <v>45</v>
      </c>
      <c r="C64" s="60"/>
      <c r="D64" s="82">
        <f>D58-D61</f>
        <v>-1400</v>
      </c>
      <c r="E64" s="6">
        <f t="shared" ref="E64:Q64" si="19">E58-E61</f>
        <v>13300</v>
      </c>
      <c r="F64" s="6">
        <f t="shared" si="19"/>
        <v>17100</v>
      </c>
      <c r="G64" s="6">
        <f t="shared" si="19"/>
        <v>20733.333333333332</v>
      </c>
      <c r="H64" s="24">
        <f t="shared" si="19"/>
        <v>24633.333333333332</v>
      </c>
      <c r="I64" s="70">
        <f t="shared" si="19"/>
        <v>-1000</v>
      </c>
      <c r="J64" s="6">
        <f t="shared" si="19"/>
        <v>-1000</v>
      </c>
      <c r="K64" s="6">
        <f t="shared" si="19"/>
        <v>-1000</v>
      </c>
      <c r="L64" s="6">
        <f t="shared" si="19"/>
        <v>-1000</v>
      </c>
      <c r="M64" s="6">
        <f t="shared" si="19"/>
        <v>-1000</v>
      </c>
      <c r="N64" s="6">
        <f t="shared" si="19"/>
        <v>-1000</v>
      </c>
      <c r="O64" s="6">
        <f t="shared" si="19"/>
        <v>-1000</v>
      </c>
      <c r="P64" s="6">
        <f t="shared" si="19"/>
        <v>-1000</v>
      </c>
      <c r="Q64" s="24">
        <f t="shared" si="19"/>
        <v>-1000</v>
      </c>
    </row>
    <row r="65" spans="2:21" x14ac:dyDescent="0.35">
      <c r="B65" s="41" t="s">
        <v>55</v>
      </c>
      <c r="C65" s="60"/>
      <c r="D65" s="83">
        <f t="shared" ref="D65:Q65" si="20">IFERROR(D64/D$9,"NA")</f>
        <v>-0.11570247933884298</v>
      </c>
      <c r="E65" s="33">
        <f t="shared" si="20"/>
        <v>0.57081545064377681</v>
      </c>
      <c r="F65" s="33">
        <f t="shared" si="20"/>
        <v>0.58163265306122447</v>
      </c>
      <c r="G65" s="33">
        <f t="shared" si="20"/>
        <v>0.62075848303393211</v>
      </c>
      <c r="H65" s="34">
        <f t="shared" si="20"/>
        <v>0.65864527629233505</v>
      </c>
      <c r="I65" s="71" t="str">
        <f t="shared" si="20"/>
        <v>NA</v>
      </c>
      <c r="J65" s="33" t="str">
        <f t="shared" si="20"/>
        <v>NA</v>
      </c>
      <c r="K65" s="33" t="str">
        <f t="shared" si="20"/>
        <v>NA</v>
      </c>
      <c r="L65" s="33" t="str">
        <f t="shared" si="20"/>
        <v>NA</v>
      </c>
      <c r="M65" s="33" t="str">
        <f t="shared" si="20"/>
        <v>NA</v>
      </c>
      <c r="N65" s="33" t="str">
        <f t="shared" si="20"/>
        <v>NA</v>
      </c>
      <c r="O65" s="33" t="str">
        <f t="shared" si="20"/>
        <v>NA</v>
      </c>
      <c r="P65" s="33" t="str">
        <f t="shared" si="20"/>
        <v>NA</v>
      </c>
      <c r="Q65" s="34" t="str">
        <f t="shared" si="20"/>
        <v>NA</v>
      </c>
    </row>
    <row r="66" spans="2:21" x14ac:dyDescent="0.35">
      <c r="B66" s="25" t="s">
        <v>100</v>
      </c>
      <c r="C66" s="60"/>
      <c r="D66" s="84">
        <f>IF(D64&gt;0,IF(D9&lt;100000,D64*3%,D64*15%),0)</f>
        <v>0</v>
      </c>
      <c r="E66" s="5">
        <f t="shared" ref="E66:H66" si="21">IF(E64&gt;0,IF(E9&lt;100000,E64*3%,E64*15%),0)</f>
        <v>399</v>
      </c>
      <c r="F66" s="5">
        <f t="shared" si="21"/>
        <v>513</v>
      </c>
      <c r="G66" s="5">
        <f t="shared" si="21"/>
        <v>621.99999999999989</v>
      </c>
      <c r="H66" s="26">
        <f t="shared" si="21"/>
        <v>738.99999999999989</v>
      </c>
      <c r="I66" s="72">
        <f t="shared" ref="I66:Q66" si="22">I64*15%</f>
        <v>-150</v>
      </c>
      <c r="J66" s="5">
        <f t="shared" si="22"/>
        <v>-150</v>
      </c>
      <c r="K66" s="5">
        <f t="shared" si="22"/>
        <v>-150</v>
      </c>
      <c r="L66" s="5">
        <f t="shared" si="22"/>
        <v>-150</v>
      </c>
      <c r="M66" s="5">
        <f t="shared" si="22"/>
        <v>-150</v>
      </c>
      <c r="N66" s="5">
        <f t="shared" si="22"/>
        <v>-150</v>
      </c>
      <c r="O66" s="5">
        <f t="shared" si="22"/>
        <v>-150</v>
      </c>
      <c r="P66" s="5">
        <f t="shared" si="22"/>
        <v>-150</v>
      </c>
      <c r="Q66" s="26">
        <f t="shared" si="22"/>
        <v>-150</v>
      </c>
    </row>
    <row r="67" spans="2:21" ht="15.5" x14ac:dyDescent="0.35">
      <c r="B67" s="15" t="s">
        <v>134</v>
      </c>
      <c r="C67" s="58"/>
      <c r="D67" s="110">
        <f>D64-D66</f>
        <v>-1400</v>
      </c>
      <c r="E67" s="111">
        <f t="shared" ref="E67:Q67" si="23">E64-E66</f>
        <v>12901</v>
      </c>
      <c r="F67" s="111">
        <f t="shared" si="23"/>
        <v>16587</v>
      </c>
      <c r="G67" s="111">
        <f t="shared" si="23"/>
        <v>20111.333333333332</v>
      </c>
      <c r="H67" s="112">
        <f t="shared" si="23"/>
        <v>23894.333333333332</v>
      </c>
      <c r="I67" s="65">
        <f t="shared" si="23"/>
        <v>-850</v>
      </c>
      <c r="J67" s="3">
        <f t="shared" si="23"/>
        <v>-850</v>
      </c>
      <c r="K67" s="3">
        <f t="shared" si="23"/>
        <v>-850</v>
      </c>
      <c r="L67" s="3">
        <f t="shared" si="23"/>
        <v>-850</v>
      </c>
      <c r="M67" s="3">
        <f t="shared" si="23"/>
        <v>-850</v>
      </c>
      <c r="N67" s="3">
        <f t="shared" si="23"/>
        <v>-850</v>
      </c>
      <c r="O67" s="3">
        <f t="shared" si="23"/>
        <v>-850</v>
      </c>
      <c r="P67" s="3">
        <f t="shared" si="23"/>
        <v>-850</v>
      </c>
      <c r="Q67" s="16">
        <f t="shared" si="23"/>
        <v>-850</v>
      </c>
    </row>
    <row r="68" spans="2:21" x14ac:dyDescent="0.35">
      <c r="B68" s="43" t="s">
        <v>67</v>
      </c>
      <c r="C68" s="62"/>
      <c r="D68" s="85">
        <f t="shared" ref="D68:Q68" si="24">D67/D9</f>
        <v>-0.11570247933884298</v>
      </c>
      <c r="E68" s="11">
        <f t="shared" si="24"/>
        <v>0.55369098712446352</v>
      </c>
      <c r="F68" s="11">
        <f t="shared" si="24"/>
        <v>0.5641836734693878</v>
      </c>
      <c r="G68" s="11">
        <f t="shared" si="24"/>
        <v>0.60213572854291408</v>
      </c>
      <c r="H68" s="27">
        <f t="shared" si="24"/>
        <v>0.63888591800356498</v>
      </c>
      <c r="I68" s="73" t="e">
        <f t="shared" si="24"/>
        <v>#DIV/0!</v>
      </c>
      <c r="J68" s="11" t="e">
        <f t="shared" si="24"/>
        <v>#DIV/0!</v>
      </c>
      <c r="K68" s="11" t="e">
        <f t="shared" si="24"/>
        <v>#DIV/0!</v>
      </c>
      <c r="L68" s="11" t="e">
        <f t="shared" si="24"/>
        <v>#DIV/0!</v>
      </c>
      <c r="M68" s="11" t="e">
        <f t="shared" si="24"/>
        <v>#DIV/0!</v>
      </c>
      <c r="N68" s="11" t="e">
        <f t="shared" si="24"/>
        <v>#DIV/0!</v>
      </c>
      <c r="O68" s="11" t="e">
        <f t="shared" si="24"/>
        <v>#DIV/0!</v>
      </c>
      <c r="P68" s="11" t="e">
        <f t="shared" si="24"/>
        <v>#DIV/0!</v>
      </c>
      <c r="Q68" s="27" t="e">
        <f t="shared" si="24"/>
        <v>#DIV/0!</v>
      </c>
    </row>
    <row r="69" spans="2:21" ht="15.5" x14ac:dyDescent="0.35">
      <c r="B69" s="19" t="s">
        <v>46</v>
      </c>
      <c r="C69" s="63"/>
      <c r="D69" s="86">
        <f>D67</f>
        <v>-1400</v>
      </c>
      <c r="E69" s="35">
        <f t="shared" ref="E69:Q69" si="25">D69+E67</f>
        <v>11501</v>
      </c>
      <c r="F69" s="35">
        <f t="shared" si="25"/>
        <v>28088</v>
      </c>
      <c r="G69" s="35">
        <f t="shared" si="25"/>
        <v>48199.333333333328</v>
      </c>
      <c r="H69" s="37">
        <f t="shared" si="25"/>
        <v>72093.666666666657</v>
      </c>
      <c r="I69" s="74">
        <f t="shared" si="25"/>
        <v>71243.666666666657</v>
      </c>
      <c r="J69" s="36">
        <f t="shared" si="25"/>
        <v>70393.666666666657</v>
      </c>
      <c r="K69" s="36">
        <f t="shared" si="25"/>
        <v>69543.666666666657</v>
      </c>
      <c r="L69" s="36">
        <f t="shared" si="25"/>
        <v>68693.666666666657</v>
      </c>
      <c r="M69" s="36">
        <f t="shared" si="25"/>
        <v>67843.666666666657</v>
      </c>
      <c r="N69" s="36">
        <f t="shared" si="25"/>
        <v>66993.666666666657</v>
      </c>
      <c r="O69" s="36">
        <f t="shared" si="25"/>
        <v>66143.666666666657</v>
      </c>
      <c r="P69" s="36">
        <f t="shared" si="25"/>
        <v>65293.666666666657</v>
      </c>
      <c r="Q69" s="37">
        <f t="shared" si="25"/>
        <v>64443.666666666657</v>
      </c>
    </row>
    <row r="70" spans="2:21" ht="6" customHeight="1" thickBot="1" x14ac:dyDescent="0.4">
      <c r="B70" s="28"/>
      <c r="C70" s="29"/>
      <c r="D70" s="87"/>
      <c r="E70" s="29"/>
      <c r="F70" s="29"/>
      <c r="G70" s="29"/>
      <c r="H70" s="30"/>
      <c r="I70" s="29"/>
      <c r="J70" s="29"/>
      <c r="K70" s="29"/>
      <c r="L70" s="29"/>
      <c r="M70" s="29"/>
      <c r="N70" s="29"/>
      <c r="O70" s="29"/>
      <c r="P70" s="29"/>
      <c r="Q70" s="30"/>
    </row>
    <row r="73" spans="2:21" x14ac:dyDescent="0.35">
      <c r="B73" s="4" t="s">
        <v>66</v>
      </c>
      <c r="D73">
        <v>1</v>
      </c>
      <c r="E73">
        <v>2</v>
      </c>
      <c r="F73">
        <v>3</v>
      </c>
      <c r="G73">
        <v>4</v>
      </c>
      <c r="H73">
        <v>5</v>
      </c>
    </row>
    <row r="74" spans="2:21" outlineLevel="1" x14ac:dyDescent="0.35">
      <c r="B74" s="4" t="s">
        <v>59</v>
      </c>
      <c r="C74" s="3"/>
      <c r="D74" s="90">
        <v>3000</v>
      </c>
      <c r="E74" s="3">
        <v>1500</v>
      </c>
      <c r="F74" s="3">
        <v>1500</v>
      </c>
      <c r="G74" s="3">
        <v>2000</v>
      </c>
      <c r="H74" s="3">
        <v>1500</v>
      </c>
      <c r="I74" s="3"/>
      <c r="J74" s="3"/>
      <c r="K74" s="3"/>
      <c r="L74" s="3"/>
      <c r="M74" s="3"/>
      <c r="N74" s="3"/>
      <c r="O74" s="3"/>
      <c r="P74" s="3"/>
      <c r="Q74" s="3"/>
      <c r="S74" s="17" t="s">
        <v>82</v>
      </c>
      <c r="T74" s="97" t="s">
        <v>92</v>
      </c>
      <c r="U74" s="108" t="s">
        <v>109</v>
      </c>
    </row>
    <row r="75" spans="2:21" outlineLevel="1" x14ac:dyDescent="0.35">
      <c r="B75" s="9" t="s">
        <v>56</v>
      </c>
      <c r="C75" s="90">
        <v>3</v>
      </c>
      <c r="D75" s="3">
        <f>D74/$C$75</f>
        <v>1000</v>
      </c>
      <c r="E75" s="3">
        <f>D74/$C$75+E74/$C$75</f>
        <v>1500</v>
      </c>
      <c r="F75" s="3">
        <f>D74/$C$75+E74/$C$75+F74/$C$75</f>
        <v>2000</v>
      </c>
      <c r="G75" s="3">
        <f>E74/$C$75+F74/$C$75+G74/$C$75</f>
        <v>1666.6666666666665</v>
      </c>
      <c r="H75" s="3">
        <f>F74/$C$75+G74/$C$75+H74/$C$75</f>
        <v>1666.6666666666665</v>
      </c>
      <c r="I75" s="3">
        <f t="shared" ref="I75:K75" si="26">G74/$C$75+H74/$C$75+I74/$C$75</f>
        <v>1166.6666666666665</v>
      </c>
      <c r="J75" s="3">
        <f t="shared" si="26"/>
        <v>500</v>
      </c>
      <c r="K75" s="3">
        <f t="shared" si="26"/>
        <v>0</v>
      </c>
      <c r="L75" s="3"/>
      <c r="M75" s="3"/>
      <c r="N75" s="3"/>
      <c r="O75" s="3"/>
      <c r="P75" s="3"/>
      <c r="Q75" s="3"/>
      <c r="R75" s="3"/>
    </row>
    <row r="76" spans="2:21" outlineLevel="1" x14ac:dyDescent="0.35">
      <c r="B76" s="4" t="s">
        <v>60</v>
      </c>
      <c r="C76" s="1"/>
      <c r="D76" s="104"/>
      <c r="E76" s="1"/>
      <c r="F76" s="1"/>
      <c r="G76" s="1"/>
      <c r="H76" s="1"/>
      <c r="I76" s="1"/>
      <c r="J76" s="1"/>
      <c r="K76" s="1"/>
      <c r="L76" s="1"/>
      <c r="M76" s="1"/>
      <c r="N76" s="1"/>
      <c r="O76" s="1"/>
      <c r="P76" s="1"/>
      <c r="Q76" s="1"/>
    </row>
    <row r="77" spans="2:21" outlineLevel="1" x14ac:dyDescent="0.35">
      <c r="B77" s="9" t="s">
        <v>56</v>
      </c>
      <c r="C77" s="104">
        <v>3</v>
      </c>
      <c r="D77" s="1"/>
      <c r="E77" s="1"/>
      <c r="F77" s="1"/>
      <c r="G77" s="1"/>
      <c r="H77" s="1"/>
      <c r="I77" s="1"/>
      <c r="J77" s="1"/>
      <c r="K77" s="1"/>
      <c r="L77" s="1"/>
      <c r="M77" s="1"/>
      <c r="N77" s="1"/>
      <c r="O77" s="1"/>
      <c r="P77" s="1"/>
      <c r="Q77" s="1"/>
    </row>
    <row r="78" spans="2:21" outlineLevel="1" x14ac:dyDescent="0.35">
      <c r="B78" s="4" t="s">
        <v>61</v>
      </c>
      <c r="C78" s="1"/>
      <c r="D78" s="104"/>
      <c r="E78" s="1"/>
      <c r="F78" s="1"/>
      <c r="G78" s="1"/>
      <c r="H78" s="1"/>
      <c r="I78" s="1"/>
      <c r="J78" s="1"/>
      <c r="K78" s="1"/>
      <c r="L78" s="1"/>
      <c r="M78" s="1"/>
      <c r="N78" s="1"/>
      <c r="O78" s="1"/>
      <c r="P78" s="1"/>
      <c r="Q78" s="1"/>
    </row>
    <row r="79" spans="2:21" outlineLevel="1" x14ac:dyDescent="0.35">
      <c r="B79" s="9" t="s">
        <v>56</v>
      </c>
      <c r="C79" s="104">
        <v>3</v>
      </c>
      <c r="D79" s="1"/>
      <c r="E79" s="1"/>
      <c r="F79" s="1"/>
      <c r="G79" s="1"/>
      <c r="H79" s="1"/>
      <c r="I79" s="1"/>
      <c r="J79" s="1"/>
      <c r="K79" s="1"/>
      <c r="L79" s="1"/>
      <c r="M79" s="1"/>
      <c r="N79" s="1"/>
      <c r="O79" s="1"/>
      <c r="P79" s="1"/>
      <c r="Q79" s="1"/>
    </row>
    <row r="80" spans="2:21" x14ac:dyDescent="0.35">
      <c r="B80" s="4" t="s">
        <v>62</v>
      </c>
      <c r="C80" s="1"/>
      <c r="D80" s="105">
        <f>(D74/$C$75)+(D76/$C$77)+(D78/$C$79)</f>
        <v>1000</v>
      </c>
      <c r="E80" s="105">
        <f>(E74/$C$75)+(E76/$C$77)+(E78/$C$79)+IF((E$73-D$73)&lt;$C75,$D$74/$C$75)</f>
        <v>1500</v>
      </c>
      <c r="F80" s="105">
        <f>(F74/$C$75)+(F76/$C$77)+(F78/$C$79)+IF((F$73-$D$73)&lt;$C75,$D$74/$C$75)+IF((F$73-$E$73)&lt;$C77,$E$74/$C$77)</f>
        <v>2000</v>
      </c>
      <c r="G80" s="105">
        <f>(G74/$C$75)+(G76/$C$77)+(G78/$C$79)+IF((G$73-$D$73)&lt;$C75,$D$74/$C$75)+IF((G$73-$E$73)&lt;$C75,$E$74/$C$75)+IF((G$73-$F$73)&lt;$C75,$F$74/$C$75)</f>
        <v>1666.6666666666665</v>
      </c>
      <c r="H80" s="105">
        <f>(H74/$C$75)+(H76/$C$77)+(H78/$C$79)+IF((H$73-$D$73)&lt;$C75,$D$74/$C$75)+IF((H$73-$E$73)&lt;$C75,$E$74/$C$75)+IF((H$73-$F$73)&lt;$C75,$F$74/$C$75)+IF((H$73-$G$73)&lt;$C75,$G$74/$C$75)</f>
        <v>1666.6666666666665</v>
      </c>
      <c r="I80" s="1"/>
      <c r="J80" s="1"/>
      <c r="K80" s="1"/>
      <c r="L80" s="1"/>
      <c r="M80" s="1"/>
      <c r="N80" s="1"/>
      <c r="O80" s="1"/>
      <c r="P80" s="1"/>
      <c r="Q80" s="1"/>
    </row>
    <row r="82" spans="2:2" x14ac:dyDescent="0.35">
      <c r="B82" s="8" t="s">
        <v>65</v>
      </c>
    </row>
  </sheetData>
  <dataConsolidate/>
  <mergeCells count="6">
    <mergeCell ref="T5:U6"/>
    <mergeCell ref="T7:U8"/>
    <mergeCell ref="C3:C4"/>
    <mergeCell ref="C5:C6"/>
    <mergeCell ref="C7:C8"/>
    <mergeCell ref="S5:S6"/>
  </mergeCells>
  <conditionalFormatting sqref="D69:Q69">
    <cfRule type="cellIs" dxfId="5" priority="1" operator="greaterThanOrEqual">
      <formula>0</formula>
    </cfRule>
    <cfRule type="cellIs" dxfId="4" priority="2"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23CD7-F1C2-444F-984E-655754026FDA}">
  <sheetPr>
    <tabColor rgb="FFFFFF00"/>
  </sheetPr>
  <dimension ref="B1:U82"/>
  <sheetViews>
    <sheetView topLeftCell="A57" zoomScale="90" zoomScaleNormal="90" workbookViewId="0">
      <selection activeCell="B62" sqref="B62"/>
    </sheetView>
  </sheetViews>
  <sheetFormatPr defaultRowHeight="14.5" outlineLevelRow="1" x14ac:dyDescent="0.35"/>
  <cols>
    <col min="1" max="1" width="1" customWidth="1"/>
    <col min="2" max="2" width="53.453125" customWidth="1"/>
    <col min="3" max="3" width="19" customWidth="1"/>
    <col min="4" max="4" width="12.7265625" bestFit="1" customWidth="1"/>
    <col min="5" max="6" width="10.26953125" bestFit="1" customWidth="1"/>
    <col min="7" max="8" width="10.81640625" bestFit="1" customWidth="1"/>
    <col min="9" max="17" width="10.81640625" hidden="1" customWidth="1"/>
    <col min="18" max="18" width="3.26953125" customWidth="1"/>
    <col min="19" max="19" width="27.81640625" customWidth="1"/>
    <col min="20" max="20" width="17.7265625" customWidth="1"/>
    <col min="21" max="21" width="88" bestFit="1" customWidth="1"/>
  </cols>
  <sheetData>
    <row r="1" spans="2:21" ht="6" customHeight="1" thickBot="1" x14ac:dyDescent="0.4"/>
    <row r="2" spans="2:21" x14ac:dyDescent="0.35">
      <c r="B2" s="12" t="s">
        <v>0</v>
      </c>
      <c r="C2" s="56"/>
      <c r="D2" s="75" t="s">
        <v>1</v>
      </c>
      <c r="E2" s="13" t="s">
        <v>2</v>
      </c>
      <c r="F2" s="13" t="s">
        <v>3</v>
      </c>
      <c r="G2" s="13" t="s">
        <v>4</v>
      </c>
      <c r="H2" s="14" t="s">
        <v>5</v>
      </c>
      <c r="I2" s="64" t="s">
        <v>6</v>
      </c>
      <c r="J2" s="13" t="s">
        <v>7</v>
      </c>
      <c r="K2" s="13" t="s">
        <v>8</v>
      </c>
      <c r="L2" s="13" t="s">
        <v>9</v>
      </c>
      <c r="M2" s="13" t="s">
        <v>10</v>
      </c>
      <c r="N2" s="13" t="s">
        <v>47</v>
      </c>
      <c r="O2" s="13" t="s">
        <v>48</v>
      </c>
      <c r="P2" s="13" t="s">
        <v>49</v>
      </c>
      <c r="Q2" s="14" t="s">
        <v>50</v>
      </c>
      <c r="S2" s="96" t="s">
        <v>87</v>
      </c>
      <c r="T2" s="96" t="s">
        <v>88</v>
      </c>
      <c r="U2" s="96" t="s">
        <v>93</v>
      </c>
    </row>
    <row r="3" spans="2:21" ht="39.5" x14ac:dyDescent="0.35">
      <c r="B3" s="88" t="s">
        <v>110</v>
      </c>
      <c r="C3" s="196" t="s">
        <v>128</v>
      </c>
      <c r="D3" s="89">
        <v>6</v>
      </c>
      <c r="E3" s="90">
        <v>9</v>
      </c>
      <c r="F3" s="90">
        <v>15</v>
      </c>
      <c r="G3" s="90">
        <v>16</v>
      </c>
      <c r="H3" s="91">
        <v>20</v>
      </c>
      <c r="I3" s="65">
        <v>12</v>
      </c>
      <c r="J3" s="3">
        <v>12</v>
      </c>
      <c r="K3" s="3">
        <v>12</v>
      </c>
      <c r="L3" s="3">
        <v>12</v>
      </c>
      <c r="M3" s="3">
        <v>12</v>
      </c>
      <c r="N3" s="3">
        <v>12</v>
      </c>
      <c r="O3" s="3">
        <v>12</v>
      </c>
      <c r="P3" s="3">
        <v>12</v>
      </c>
      <c r="Q3" s="16">
        <v>12</v>
      </c>
      <c r="S3" s="88" t="s">
        <v>110</v>
      </c>
      <c r="T3" s="97" t="s">
        <v>89</v>
      </c>
      <c r="U3" s="107" t="s">
        <v>112</v>
      </c>
    </row>
    <row r="4" spans="2:21" ht="51.75" customHeight="1" x14ac:dyDescent="0.35">
      <c r="B4" s="92" t="s">
        <v>80</v>
      </c>
      <c r="C4" s="197"/>
      <c r="D4" s="93">
        <v>2000</v>
      </c>
      <c r="E4" s="94">
        <v>2200</v>
      </c>
      <c r="F4" s="94">
        <v>2500</v>
      </c>
      <c r="G4" s="94">
        <v>2700</v>
      </c>
      <c r="H4" s="95">
        <v>2700</v>
      </c>
      <c r="I4" s="66">
        <v>2000</v>
      </c>
      <c r="J4" s="7">
        <v>2000</v>
      </c>
      <c r="K4" s="7">
        <v>2000</v>
      </c>
      <c r="L4" s="7">
        <v>2000</v>
      </c>
      <c r="M4" s="7">
        <v>2000</v>
      </c>
      <c r="N4" s="7">
        <v>2000</v>
      </c>
      <c r="O4" s="7">
        <v>2000</v>
      </c>
      <c r="P4" s="7">
        <v>2000</v>
      </c>
      <c r="Q4" s="18">
        <v>2000</v>
      </c>
      <c r="S4" s="88" t="s">
        <v>111</v>
      </c>
      <c r="T4" s="97" t="s">
        <v>89</v>
      </c>
      <c r="U4" s="106" t="s">
        <v>113</v>
      </c>
    </row>
    <row r="5" spans="2:21" x14ac:dyDescent="0.35">
      <c r="B5" s="92" t="s">
        <v>114</v>
      </c>
      <c r="C5" s="183" t="s">
        <v>126</v>
      </c>
      <c r="D5" s="93">
        <v>2</v>
      </c>
      <c r="E5" s="94">
        <v>3</v>
      </c>
      <c r="F5" s="94">
        <v>5</v>
      </c>
      <c r="G5" s="94">
        <v>7</v>
      </c>
      <c r="H5" s="95">
        <v>9</v>
      </c>
      <c r="I5" s="66"/>
      <c r="J5" s="7"/>
      <c r="K5" s="7"/>
      <c r="L5" s="7"/>
      <c r="M5" s="7"/>
      <c r="N5" s="7"/>
      <c r="O5" s="7"/>
      <c r="P5" s="7"/>
      <c r="Q5" s="18"/>
      <c r="S5" s="198" t="s">
        <v>116</v>
      </c>
      <c r="T5" s="191" t="s">
        <v>115</v>
      </c>
      <c r="U5" s="192"/>
    </row>
    <row r="6" spans="2:21" x14ac:dyDescent="0.35">
      <c r="B6" s="92" t="s">
        <v>103</v>
      </c>
      <c r="C6" s="184"/>
      <c r="D6" s="93">
        <v>1200</v>
      </c>
      <c r="E6" s="94">
        <v>1200</v>
      </c>
      <c r="F6" s="94">
        <v>1200</v>
      </c>
      <c r="G6" s="94">
        <v>1200</v>
      </c>
      <c r="H6" s="95">
        <v>1200</v>
      </c>
      <c r="I6" s="66"/>
      <c r="J6" s="7"/>
      <c r="K6" s="7"/>
      <c r="L6" s="7"/>
      <c r="M6" s="7"/>
      <c r="N6" s="7"/>
      <c r="O6" s="7"/>
      <c r="P6" s="7"/>
      <c r="Q6" s="18"/>
      <c r="S6" s="198"/>
      <c r="T6" s="192"/>
      <c r="U6" s="192"/>
    </row>
    <row r="7" spans="2:21" x14ac:dyDescent="0.35">
      <c r="B7" s="92" t="s">
        <v>101</v>
      </c>
      <c r="C7" s="183" t="s">
        <v>127</v>
      </c>
      <c r="D7" s="93">
        <v>400</v>
      </c>
      <c r="E7" s="94">
        <v>500</v>
      </c>
      <c r="F7" s="94">
        <v>600</v>
      </c>
      <c r="G7" s="94">
        <v>600</v>
      </c>
      <c r="H7" s="95">
        <v>600</v>
      </c>
      <c r="I7" s="66"/>
      <c r="J7" s="7"/>
      <c r="K7" s="7"/>
      <c r="L7" s="7"/>
      <c r="M7" s="7"/>
      <c r="N7" s="7"/>
      <c r="O7" s="7"/>
      <c r="P7" s="7"/>
      <c r="Q7" s="18"/>
      <c r="S7" s="198" t="s">
        <v>106</v>
      </c>
      <c r="T7" s="199" t="s">
        <v>117</v>
      </c>
      <c r="U7" s="194"/>
    </row>
    <row r="8" spans="2:21" x14ac:dyDescent="0.35">
      <c r="B8" s="92" t="s">
        <v>102</v>
      </c>
      <c r="C8" s="184"/>
      <c r="D8" s="93">
        <v>3</v>
      </c>
      <c r="E8" s="94">
        <v>3</v>
      </c>
      <c r="F8" s="94">
        <v>4</v>
      </c>
      <c r="G8" s="94">
        <v>4</v>
      </c>
      <c r="H8" s="95">
        <v>4</v>
      </c>
      <c r="I8" s="66"/>
      <c r="J8" s="7"/>
      <c r="K8" s="7"/>
      <c r="L8" s="7"/>
      <c r="M8" s="7"/>
      <c r="N8" s="7"/>
      <c r="O8" s="7"/>
      <c r="P8" s="7"/>
      <c r="Q8" s="18"/>
      <c r="S8" s="198"/>
      <c r="T8" s="200"/>
      <c r="U8" s="195"/>
    </row>
    <row r="9" spans="2:21" ht="15.5" x14ac:dyDescent="0.35">
      <c r="B9" s="19" t="s">
        <v>12</v>
      </c>
      <c r="C9" s="57"/>
      <c r="D9" s="78">
        <f>D3*D4+D5*D6+D7*D8</f>
        <v>15600</v>
      </c>
      <c r="E9" s="38">
        <f t="shared" ref="E9:H9" si="0">E3*E4+E5*E6+E7*E8</f>
        <v>24900</v>
      </c>
      <c r="F9" s="38">
        <f t="shared" si="0"/>
        <v>45900</v>
      </c>
      <c r="G9" s="38">
        <f t="shared" si="0"/>
        <v>54000</v>
      </c>
      <c r="H9" s="39">
        <f t="shared" si="0"/>
        <v>67200</v>
      </c>
      <c r="I9" s="67">
        <f t="shared" ref="I9:Q9" si="1">I3*I4</f>
        <v>24000</v>
      </c>
      <c r="J9" s="38">
        <f t="shared" si="1"/>
        <v>24000</v>
      </c>
      <c r="K9" s="38">
        <f t="shared" si="1"/>
        <v>24000</v>
      </c>
      <c r="L9" s="38">
        <f t="shared" si="1"/>
        <v>24000</v>
      </c>
      <c r="M9" s="38">
        <f t="shared" si="1"/>
        <v>24000</v>
      </c>
      <c r="N9" s="38">
        <f t="shared" si="1"/>
        <v>24000</v>
      </c>
      <c r="O9" s="38">
        <f t="shared" si="1"/>
        <v>24000</v>
      </c>
      <c r="P9" s="38">
        <f t="shared" si="1"/>
        <v>24000</v>
      </c>
      <c r="Q9" s="39">
        <f t="shared" si="1"/>
        <v>24000</v>
      </c>
      <c r="S9" s="44"/>
    </row>
    <row r="10" spans="2:21" ht="6" customHeight="1" x14ac:dyDescent="0.35">
      <c r="B10" s="22"/>
      <c r="C10" s="10"/>
      <c r="D10" s="79"/>
      <c r="E10" s="10"/>
      <c r="F10" s="10"/>
      <c r="G10" s="10"/>
      <c r="H10" s="23"/>
      <c r="I10" s="10"/>
      <c r="J10" s="10"/>
      <c r="K10" s="10"/>
      <c r="L10" s="10"/>
      <c r="M10" s="10"/>
      <c r="N10" s="10"/>
      <c r="O10" s="10"/>
      <c r="P10" s="10"/>
      <c r="Q10" s="23"/>
    </row>
    <row r="11" spans="2:21" outlineLevel="1" x14ac:dyDescent="0.35">
      <c r="B11" s="21" t="s">
        <v>14</v>
      </c>
      <c r="C11" s="57"/>
      <c r="D11" s="76"/>
      <c r="E11" s="3"/>
      <c r="F11" s="3"/>
      <c r="G11" s="3"/>
      <c r="H11" s="16"/>
      <c r="I11" s="65"/>
      <c r="J11" s="3"/>
      <c r="K11" s="3"/>
      <c r="L11" s="3"/>
      <c r="M11" s="3"/>
      <c r="N11" s="3"/>
      <c r="O11" s="3"/>
      <c r="P11" s="3"/>
      <c r="Q11" s="16"/>
      <c r="S11" s="21" t="s">
        <v>14</v>
      </c>
      <c r="T11" s="96" t="s">
        <v>91</v>
      </c>
      <c r="U11" s="96" t="s">
        <v>93</v>
      </c>
    </row>
    <row r="12" spans="2:21" outlineLevel="1" x14ac:dyDescent="0.35">
      <c r="B12" s="55" t="s">
        <v>83</v>
      </c>
      <c r="C12" s="58"/>
      <c r="D12" s="89">
        <v>10</v>
      </c>
      <c r="E12" s="90">
        <v>12</v>
      </c>
      <c r="F12" s="90">
        <v>12</v>
      </c>
      <c r="G12" s="90">
        <v>13</v>
      </c>
      <c r="H12" s="91">
        <v>15</v>
      </c>
      <c r="I12" s="65">
        <v>15</v>
      </c>
      <c r="J12" s="3">
        <v>15</v>
      </c>
      <c r="K12" s="3">
        <v>15</v>
      </c>
      <c r="L12" s="3">
        <v>15</v>
      </c>
      <c r="M12" s="3">
        <v>15</v>
      </c>
      <c r="N12" s="3">
        <v>15</v>
      </c>
      <c r="O12" s="3">
        <v>15</v>
      </c>
      <c r="P12" s="3">
        <v>15</v>
      </c>
      <c r="Q12" s="16">
        <v>15</v>
      </c>
      <c r="S12" s="55" t="s">
        <v>83</v>
      </c>
      <c r="T12" s="97" t="s">
        <v>92</v>
      </c>
      <c r="U12" s="108" t="s">
        <v>95</v>
      </c>
    </row>
    <row r="13" spans="2:21" outlineLevel="1" x14ac:dyDescent="0.35">
      <c r="B13" s="17"/>
      <c r="C13" s="58"/>
      <c r="D13" s="89"/>
      <c r="E13" s="90"/>
      <c r="F13" s="90"/>
      <c r="G13" s="90"/>
      <c r="H13" s="91"/>
      <c r="I13" s="65">
        <v>6000</v>
      </c>
      <c r="J13" s="3">
        <v>6000</v>
      </c>
      <c r="K13" s="3">
        <v>6000</v>
      </c>
      <c r="L13" s="3">
        <v>6000</v>
      </c>
      <c r="M13" s="3">
        <v>6000</v>
      </c>
      <c r="N13" s="3">
        <v>6000</v>
      </c>
      <c r="O13" s="3">
        <v>6000</v>
      </c>
      <c r="P13" s="3">
        <v>6000</v>
      </c>
      <c r="Q13" s="16">
        <v>6000</v>
      </c>
      <c r="S13" s="17"/>
      <c r="T13" s="97"/>
      <c r="U13" s="108"/>
    </row>
    <row r="14" spans="2:21" outlineLevel="1" x14ac:dyDescent="0.35">
      <c r="B14" s="17"/>
      <c r="C14" s="58"/>
      <c r="D14" s="89"/>
      <c r="E14" s="90"/>
      <c r="F14" s="90"/>
      <c r="G14" s="90"/>
      <c r="H14" s="91"/>
      <c r="I14" s="65">
        <v>100</v>
      </c>
      <c r="J14" s="3">
        <v>100</v>
      </c>
      <c r="K14" s="3">
        <v>100</v>
      </c>
      <c r="L14" s="3">
        <v>100</v>
      </c>
      <c r="M14" s="3">
        <v>100</v>
      </c>
      <c r="N14" s="3">
        <v>100</v>
      </c>
      <c r="O14" s="3">
        <v>100</v>
      </c>
      <c r="P14" s="3">
        <v>100</v>
      </c>
      <c r="Q14" s="16">
        <v>100</v>
      </c>
      <c r="S14" s="17"/>
      <c r="T14" s="97"/>
      <c r="U14" s="108"/>
    </row>
    <row r="15" spans="2:21" outlineLevel="1" x14ac:dyDescent="0.35">
      <c r="B15" s="17" t="s">
        <v>84</v>
      </c>
      <c r="C15" s="57"/>
      <c r="D15" s="89">
        <v>500</v>
      </c>
      <c r="E15" s="90">
        <v>500</v>
      </c>
      <c r="F15" s="90">
        <v>600</v>
      </c>
      <c r="G15" s="90">
        <v>600</v>
      </c>
      <c r="H15" s="91">
        <v>700</v>
      </c>
      <c r="I15" s="65">
        <v>100</v>
      </c>
      <c r="J15" s="3">
        <v>100</v>
      </c>
      <c r="K15" s="3">
        <v>100</v>
      </c>
      <c r="L15" s="3">
        <v>100</v>
      </c>
      <c r="M15" s="3">
        <v>100</v>
      </c>
      <c r="N15" s="3">
        <v>100</v>
      </c>
      <c r="O15" s="3">
        <v>100</v>
      </c>
      <c r="P15" s="3">
        <v>100</v>
      </c>
      <c r="Q15" s="16">
        <v>100</v>
      </c>
      <c r="S15" s="17" t="s">
        <v>84</v>
      </c>
      <c r="T15" s="97" t="s">
        <v>92</v>
      </c>
      <c r="U15" s="108" t="s">
        <v>97</v>
      </c>
    </row>
    <row r="16" spans="2:21" outlineLevel="1" x14ac:dyDescent="0.35">
      <c r="B16" s="17" t="s">
        <v>85</v>
      </c>
      <c r="C16" s="57"/>
      <c r="D16" s="89">
        <v>100</v>
      </c>
      <c r="E16" s="90">
        <v>100</v>
      </c>
      <c r="F16" s="201">
        <v>100</v>
      </c>
      <c r="G16" s="90">
        <v>100</v>
      </c>
      <c r="H16" s="91">
        <v>100</v>
      </c>
      <c r="I16" s="65">
        <v>100</v>
      </c>
      <c r="J16" s="3">
        <v>100</v>
      </c>
      <c r="K16" s="3">
        <v>100</v>
      </c>
      <c r="L16" s="3">
        <v>100</v>
      </c>
      <c r="M16" s="3">
        <v>100</v>
      </c>
      <c r="N16" s="3">
        <v>100</v>
      </c>
      <c r="O16" s="3">
        <v>100</v>
      </c>
      <c r="P16" s="3">
        <v>100</v>
      </c>
      <c r="Q16" s="16">
        <v>100</v>
      </c>
      <c r="S16" s="17" t="s">
        <v>85</v>
      </c>
      <c r="T16" s="97" t="s">
        <v>92</v>
      </c>
      <c r="U16" s="108"/>
    </row>
    <row r="17" spans="2:21" outlineLevel="1" x14ac:dyDescent="0.35">
      <c r="B17" s="17" t="s">
        <v>86</v>
      </c>
      <c r="C17" s="58"/>
      <c r="D17" s="89">
        <v>1000</v>
      </c>
      <c r="E17" s="90">
        <v>1000</v>
      </c>
      <c r="F17" s="90">
        <v>1000</v>
      </c>
      <c r="G17" s="90">
        <v>1000</v>
      </c>
      <c r="H17" s="91">
        <v>1000</v>
      </c>
      <c r="I17" s="65">
        <f t="shared" ref="I17:Q17" si="2">200*I12</f>
        <v>3000</v>
      </c>
      <c r="J17" s="3">
        <f t="shared" si="2"/>
        <v>3000</v>
      </c>
      <c r="K17" s="3">
        <f t="shared" si="2"/>
        <v>3000</v>
      </c>
      <c r="L17" s="3">
        <f t="shared" si="2"/>
        <v>3000</v>
      </c>
      <c r="M17" s="3">
        <f t="shared" si="2"/>
        <v>3000</v>
      </c>
      <c r="N17" s="3">
        <f t="shared" si="2"/>
        <v>3000</v>
      </c>
      <c r="O17" s="3">
        <f t="shared" si="2"/>
        <v>3000</v>
      </c>
      <c r="P17" s="3">
        <f t="shared" si="2"/>
        <v>3000</v>
      </c>
      <c r="Q17" s="16">
        <f t="shared" si="2"/>
        <v>3000</v>
      </c>
      <c r="S17" s="17" t="s">
        <v>86</v>
      </c>
      <c r="T17" s="97" t="s">
        <v>92</v>
      </c>
      <c r="U17" s="106" t="s">
        <v>98</v>
      </c>
    </row>
    <row r="18" spans="2:21" outlineLevel="1" x14ac:dyDescent="0.35">
      <c r="B18" s="17" t="s">
        <v>15</v>
      </c>
      <c r="C18" s="58"/>
      <c r="D18" s="89">
        <v>100</v>
      </c>
      <c r="E18" s="90">
        <v>100</v>
      </c>
      <c r="F18" s="90">
        <v>100</v>
      </c>
      <c r="G18" s="90">
        <v>100</v>
      </c>
      <c r="H18" s="91">
        <v>100</v>
      </c>
      <c r="I18" s="65">
        <v>100</v>
      </c>
      <c r="J18" s="3">
        <v>100</v>
      </c>
      <c r="K18" s="3">
        <v>100</v>
      </c>
      <c r="L18" s="3">
        <v>100</v>
      </c>
      <c r="M18" s="3">
        <v>100</v>
      </c>
      <c r="N18" s="3">
        <v>100</v>
      </c>
      <c r="O18" s="3">
        <v>100</v>
      </c>
      <c r="P18" s="3">
        <v>100</v>
      </c>
      <c r="Q18" s="16">
        <v>100</v>
      </c>
      <c r="S18" s="17" t="s">
        <v>15</v>
      </c>
      <c r="T18" s="97" t="s">
        <v>92</v>
      </c>
      <c r="U18" s="108"/>
    </row>
    <row r="19" spans="2:21" x14ac:dyDescent="0.35">
      <c r="B19" s="41" t="s">
        <v>51</v>
      </c>
      <c r="C19" s="58"/>
      <c r="D19" s="76">
        <f>SUM(D13:D18)</f>
        <v>1700</v>
      </c>
      <c r="E19" s="3">
        <f t="shared" ref="E19:Q19" si="3">SUM(E13:E18)</f>
        <v>1700</v>
      </c>
      <c r="F19" s="3">
        <f t="shared" si="3"/>
        <v>1800</v>
      </c>
      <c r="G19" s="3">
        <f t="shared" si="3"/>
        <v>1800</v>
      </c>
      <c r="H19" s="16">
        <f t="shared" si="3"/>
        <v>1900</v>
      </c>
      <c r="I19" s="3">
        <f t="shared" si="3"/>
        <v>9400</v>
      </c>
      <c r="J19" s="3">
        <f t="shared" si="3"/>
        <v>9400</v>
      </c>
      <c r="K19" s="3">
        <f t="shared" si="3"/>
        <v>9400</v>
      </c>
      <c r="L19" s="3">
        <f t="shared" si="3"/>
        <v>9400</v>
      </c>
      <c r="M19" s="3">
        <f t="shared" si="3"/>
        <v>9400</v>
      </c>
      <c r="N19" s="3">
        <f t="shared" si="3"/>
        <v>9400</v>
      </c>
      <c r="O19" s="3">
        <f t="shared" si="3"/>
        <v>9400</v>
      </c>
      <c r="P19" s="3">
        <f t="shared" si="3"/>
        <v>9400</v>
      </c>
      <c r="Q19" s="16">
        <f t="shared" si="3"/>
        <v>9400</v>
      </c>
      <c r="U19" s="109"/>
    </row>
    <row r="20" spans="2:21" ht="6" customHeight="1" x14ac:dyDescent="0.35">
      <c r="B20" s="22"/>
      <c r="C20" s="10"/>
      <c r="D20" s="79"/>
      <c r="E20" s="10"/>
      <c r="F20" s="10"/>
      <c r="G20" s="10"/>
      <c r="H20" s="23"/>
      <c r="I20" s="10"/>
      <c r="J20" s="10"/>
      <c r="K20" s="10"/>
      <c r="L20" s="10"/>
      <c r="M20" s="10"/>
      <c r="N20" s="10"/>
      <c r="O20" s="10"/>
      <c r="P20" s="10"/>
      <c r="Q20" s="23"/>
    </row>
    <row r="21" spans="2:21" ht="15.5" x14ac:dyDescent="0.35">
      <c r="B21" s="19" t="s">
        <v>13</v>
      </c>
      <c r="C21" s="59"/>
      <c r="D21" s="78">
        <f>D9-D19</f>
        <v>13900</v>
      </c>
      <c r="E21" s="38">
        <f t="shared" ref="E21:Q21" si="4">E9-E19</f>
        <v>23200</v>
      </c>
      <c r="F21" s="38">
        <f t="shared" si="4"/>
        <v>44100</v>
      </c>
      <c r="G21" s="38">
        <f t="shared" si="4"/>
        <v>52200</v>
      </c>
      <c r="H21" s="39">
        <f t="shared" si="4"/>
        <v>65300</v>
      </c>
      <c r="I21" s="67">
        <f t="shared" si="4"/>
        <v>14600</v>
      </c>
      <c r="J21" s="38">
        <f t="shared" si="4"/>
        <v>14600</v>
      </c>
      <c r="K21" s="38">
        <f t="shared" si="4"/>
        <v>14600</v>
      </c>
      <c r="L21" s="38">
        <f t="shared" si="4"/>
        <v>14600</v>
      </c>
      <c r="M21" s="38">
        <f t="shared" si="4"/>
        <v>14600</v>
      </c>
      <c r="N21" s="38">
        <f t="shared" si="4"/>
        <v>14600</v>
      </c>
      <c r="O21" s="38">
        <f t="shared" si="4"/>
        <v>14600</v>
      </c>
      <c r="P21" s="38">
        <f t="shared" si="4"/>
        <v>14600</v>
      </c>
      <c r="Q21" s="39">
        <f t="shared" si="4"/>
        <v>14600</v>
      </c>
    </row>
    <row r="22" spans="2:21" ht="6" customHeight="1" x14ac:dyDescent="0.35">
      <c r="B22" s="22"/>
      <c r="C22" s="10"/>
      <c r="D22" s="79"/>
      <c r="E22" s="10"/>
      <c r="F22" s="10"/>
      <c r="G22" s="10"/>
      <c r="H22" s="23"/>
      <c r="I22" s="10"/>
      <c r="J22" s="10"/>
      <c r="K22" s="10"/>
      <c r="L22" s="10"/>
      <c r="M22" s="10"/>
      <c r="N22" s="10"/>
      <c r="O22" s="10"/>
      <c r="P22" s="10"/>
      <c r="Q22" s="23"/>
    </row>
    <row r="23" spans="2:21" outlineLevel="1" x14ac:dyDescent="0.35">
      <c r="B23" s="21" t="s">
        <v>16</v>
      </c>
      <c r="C23" s="58"/>
      <c r="D23" s="76"/>
      <c r="E23" s="3"/>
      <c r="F23" s="3"/>
      <c r="G23" s="3"/>
      <c r="H23" s="16"/>
      <c r="I23" s="65"/>
      <c r="J23" s="3"/>
      <c r="K23" s="3"/>
      <c r="L23" s="3"/>
      <c r="M23" s="3"/>
      <c r="N23" s="3"/>
      <c r="O23" s="3"/>
      <c r="P23" s="3"/>
      <c r="Q23" s="16"/>
      <c r="S23" s="21" t="s">
        <v>16</v>
      </c>
      <c r="T23" s="96" t="s">
        <v>91</v>
      </c>
      <c r="U23" s="96" t="s">
        <v>93</v>
      </c>
    </row>
    <row r="24" spans="2:21" outlineLevel="1" x14ac:dyDescent="0.35">
      <c r="B24" s="17" t="s">
        <v>17</v>
      </c>
      <c r="C24" s="58"/>
      <c r="D24" s="89"/>
      <c r="E24" s="90"/>
      <c r="F24" s="90"/>
      <c r="G24" s="90"/>
      <c r="H24" s="91"/>
      <c r="I24" s="65"/>
      <c r="J24" s="3"/>
      <c r="K24" s="3"/>
      <c r="L24" s="3"/>
      <c r="M24" s="3"/>
      <c r="N24" s="3"/>
      <c r="O24" s="3"/>
      <c r="P24" s="3"/>
      <c r="Q24" s="16"/>
      <c r="S24" s="17" t="s">
        <v>17</v>
      </c>
      <c r="T24" s="97" t="s">
        <v>92</v>
      </c>
      <c r="U24" s="97"/>
    </row>
    <row r="25" spans="2:21" outlineLevel="1" x14ac:dyDescent="0.35">
      <c r="B25" s="17" t="s">
        <v>18</v>
      </c>
      <c r="C25" s="58"/>
      <c r="D25" s="89"/>
      <c r="E25" s="90"/>
      <c r="F25" s="90"/>
      <c r="G25" s="90"/>
      <c r="H25" s="91"/>
      <c r="I25" s="65"/>
      <c r="J25" s="3"/>
      <c r="K25" s="3"/>
      <c r="L25" s="3"/>
      <c r="M25" s="3"/>
      <c r="N25" s="3"/>
      <c r="O25" s="3"/>
      <c r="P25" s="3"/>
      <c r="Q25" s="16"/>
      <c r="S25" s="17" t="s">
        <v>18</v>
      </c>
      <c r="T25" s="97" t="s">
        <v>92</v>
      </c>
      <c r="U25" s="97"/>
    </row>
    <row r="26" spans="2:21" outlineLevel="1" x14ac:dyDescent="0.35">
      <c r="B26" s="17" t="s">
        <v>19</v>
      </c>
      <c r="C26" s="58"/>
      <c r="D26" s="89"/>
      <c r="E26" s="90"/>
      <c r="F26" s="90"/>
      <c r="G26" s="90"/>
      <c r="H26" s="91"/>
      <c r="I26" s="65"/>
      <c r="J26" s="3"/>
      <c r="K26" s="3"/>
      <c r="L26" s="3"/>
      <c r="M26" s="3"/>
      <c r="N26" s="3"/>
      <c r="O26" s="3"/>
      <c r="P26" s="3"/>
      <c r="Q26" s="16"/>
      <c r="S26" s="17" t="s">
        <v>19</v>
      </c>
      <c r="T26" s="97" t="s">
        <v>92</v>
      </c>
      <c r="U26" s="97"/>
    </row>
    <row r="27" spans="2:21" outlineLevel="1" x14ac:dyDescent="0.35">
      <c r="B27" s="17" t="s">
        <v>20</v>
      </c>
      <c r="C27" s="58"/>
      <c r="D27" s="89"/>
      <c r="E27" s="90"/>
      <c r="F27" s="90"/>
      <c r="G27" s="90"/>
      <c r="H27" s="91"/>
      <c r="I27" s="65"/>
      <c r="J27" s="3"/>
      <c r="K27" s="3"/>
      <c r="L27" s="3"/>
      <c r="M27" s="3"/>
      <c r="N27" s="3"/>
      <c r="O27" s="3"/>
      <c r="P27" s="3"/>
      <c r="Q27" s="16"/>
      <c r="S27" s="17" t="s">
        <v>20</v>
      </c>
      <c r="T27" s="97" t="s">
        <v>92</v>
      </c>
      <c r="U27" s="97"/>
    </row>
    <row r="28" spans="2:21" outlineLevel="1" x14ac:dyDescent="0.35">
      <c r="B28" s="17" t="s">
        <v>21</v>
      </c>
      <c r="C28" s="58"/>
      <c r="D28" s="89"/>
      <c r="E28" s="90"/>
      <c r="F28" s="90"/>
      <c r="G28" s="90"/>
      <c r="H28" s="91"/>
      <c r="I28" s="65"/>
      <c r="J28" s="3"/>
      <c r="K28" s="3"/>
      <c r="L28" s="3"/>
      <c r="M28" s="3"/>
      <c r="N28" s="3"/>
      <c r="O28" s="3"/>
      <c r="P28" s="3"/>
      <c r="Q28" s="16"/>
      <c r="S28" s="17" t="s">
        <v>21</v>
      </c>
      <c r="T28" s="97" t="s">
        <v>92</v>
      </c>
      <c r="U28" s="97"/>
    </row>
    <row r="29" spans="2:21" outlineLevel="1" x14ac:dyDescent="0.35">
      <c r="B29" s="17" t="s">
        <v>22</v>
      </c>
      <c r="C29" s="58"/>
      <c r="D29" s="89"/>
      <c r="E29" s="90"/>
      <c r="F29" s="90"/>
      <c r="G29" s="90"/>
      <c r="H29" s="91"/>
      <c r="I29" s="65"/>
      <c r="J29" s="3"/>
      <c r="K29" s="3"/>
      <c r="L29" s="3"/>
      <c r="M29" s="3"/>
      <c r="N29" s="3"/>
      <c r="O29" s="3"/>
      <c r="P29" s="3"/>
      <c r="Q29" s="16"/>
      <c r="S29" s="17" t="s">
        <v>22</v>
      </c>
      <c r="T29" s="97" t="s">
        <v>92</v>
      </c>
      <c r="U29" s="97"/>
    </row>
    <row r="30" spans="2:21" x14ac:dyDescent="0.35">
      <c r="B30" s="41" t="s">
        <v>63</v>
      </c>
      <c r="C30" s="58"/>
      <c r="D30" s="76">
        <f>SUM(D24:D29)</f>
        <v>0</v>
      </c>
      <c r="E30" s="3">
        <f t="shared" ref="E30:Q30" si="5">SUM(E24:E29)</f>
        <v>0</v>
      </c>
      <c r="F30" s="3">
        <f t="shared" si="5"/>
        <v>0</v>
      </c>
      <c r="G30" s="3">
        <f t="shared" si="5"/>
        <v>0</v>
      </c>
      <c r="H30" s="16">
        <f t="shared" si="5"/>
        <v>0</v>
      </c>
      <c r="I30" s="65">
        <f t="shared" si="5"/>
        <v>0</v>
      </c>
      <c r="J30" s="3">
        <f t="shared" si="5"/>
        <v>0</v>
      </c>
      <c r="K30" s="3">
        <f t="shared" si="5"/>
        <v>0</v>
      </c>
      <c r="L30" s="3">
        <f t="shared" si="5"/>
        <v>0</v>
      </c>
      <c r="M30" s="3">
        <f t="shared" si="5"/>
        <v>0</v>
      </c>
      <c r="N30" s="3">
        <f t="shared" si="5"/>
        <v>0</v>
      </c>
      <c r="O30" s="3">
        <f t="shared" si="5"/>
        <v>0</v>
      </c>
      <c r="P30" s="3">
        <f t="shared" si="5"/>
        <v>0</v>
      </c>
      <c r="Q30" s="16">
        <f t="shared" si="5"/>
        <v>0</v>
      </c>
    </row>
    <row r="31" spans="2:21" ht="6" customHeight="1" x14ac:dyDescent="0.35">
      <c r="B31" s="22"/>
      <c r="C31" s="10"/>
      <c r="D31" s="79"/>
      <c r="E31" s="10"/>
      <c r="F31" s="10"/>
      <c r="G31" s="10"/>
      <c r="H31" s="23"/>
      <c r="I31" s="10"/>
      <c r="J31" s="10"/>
      <c r="K31" s="10"/>
      <c r="L31" s="10"/>
      <c r="M31" s="10"/>
      <c r="N31" s="10"/>
      <c r="O31" s="10"/>
      <c r="P31" s="10"/>
      <c r="Q31" s="23"/>
    </row>
    <row r="32" spans="2:21" outlineLevel="1" x14ac:dyDescent="0.35">
      <c r="B32" s="21" t="s">
        <v>52</v>
      </c>
      <c r="C32" s="58"/>
      <c r="D32" s="76"/>
      <c r="E32" s="3"/>
      <c r="F32" s="3"/>
      <c r="G32" s="3"/>
      <c r="H32" s="16"/>
      <c r="I32" s="65"/>
      <c r="J32" s="3"/>
      <c r="K32" s="3"/>
      <c r="L32" s="3"/>
      <c r="M32" s="3"/>
      <c r="N32" s="3"/>
      <c r="O32" s="3"/>
      <c r="P32" s="3"/>
      <c r="Q32" s="16"/>
      <c r="S32" s="21" t="s">
        <v>52</v>
      </c>
      <c r="T32" s="96" t="s">
        <v>91</v>
      </c>
      <c r="U32" s="96" t="s">
        <v>93</v>
      </c>
    </row>
    <row r="33" spans="2:21" ht="43.5" outlineLevel="1" x14ac:dyDescent="0.35">
      <c r="B33" s="17" t="s">
        <v>130</v>
      </c>
      <c r="C33" s="58"/>
      <c r="D33" s="89">
        <v>3600</v>
      </c>
      <c r="E33" s="90">
        <v>3600</v>
      </c>
      <c r="F33" s="90">
        <v>4800</v>
      </c>
      <c r="G33" s="90">
        <v>6000</v>
      </c>
      <c r="H33" s="91">
        <v>6000</v>
      </c>
      <c r="I33" s="65"/>
      <c r="J33" s="3"/>
      <c r="K33" s="3"/>
      <c r="L33" s="3"/>
      <c r="M33" s="3"/>
      <c r="N33" s="3"/>
      <c r="O33" s="3"/>
      <c r="P33" s="3"/>
      <c r="Q33" s="16"/>
      <c r="S33" s="17" t="s">
        <v>23</v>
      </c>
      <c r="T33" s="97" t="s">
        <v>92</v>
      </c>
      <c r="U33" s="114" t="s">
        <v>108</v>
      </c>
    </row>
    <row r="34" spans="2:21" outlineLevel="1" x14ac:dyDescent="0.35">
      <c r="B34" s="17" t="s">
        <v>57</v>
      </c>
      <c r="C34" s="58"/>
      <c r="D34" s="89"/>
      <c r="E34" s="90"/>
      <c r="F34" s="90"/>
      <c r="G34" s="90"/>
      <c r="H34" s="91"/>
      <c r="I34" s="65"/>
      <c r="J34" s="3"/>
      <c r="K34" s="3"/>
      <c r="L34" s="3"/>
      <c r="M34" s="3"/>
      <c r="N34" s="3"/>
      <c r="O34" s="3"/>
      <c r="P34" s="3"/>
      <c r="Q34" s="16"/>
      <c r="S34" s="17" t="s">
        <v>57</v>
      </c>
      <c r="T34" s="97" t="s">
        <v>92</v>
      </c>
      <c r="U34" s="97"/>
    </row>
    <row r="35" spans="2:21" outlineLevel="1" x14ac:dyDescent="0.35">
      <c r="B35" s="17" t="s">
        <v>58</v>
      </c>
      <c r="C35" s="58"/>
      <c r="D35" s="89"/>
      <c r="E35" s="90"/>
      <c r="F35" s="90"/>
      <c r="G35" s="90"/>
      <c r="H35" s="91"/>
      <c r="I35" s="65"/>
      <c r="J35" s="3"/>
      <c r="K35" s="3"/>
      <c r="L35" s="3"/>
      <c r="M35" s="3"/>
      <c r="N35" s="3"/>
      <c r="O35" s="3"/>
      <c r="P35" s="3"/>
      <c r="Q35" s="16"/>
      <c r="S35" s="17" t="s">
        <v>58</v>
      </c>
      <c r="T35" s="97" t="s">
        <v>92</v>
      </c>
      <c r="U35" s="97"/>
    </row>
    <row r="36" spans="2:21" outlineLevel="1" x14ac:dyDescent="0.35">
      <c r="B36" s="17" t="s">
        <v>24</v>
      </c>
      <c r="C36" s="58"/>
      <c r="D36" s="89"/>
      <c r="E36" s="90"/>
      <c r="F36" s="90"/>
      <c r="G36" s="90"/>
      <c r="H36" s="91"/>
      <c r="I36" s="65"/>
      <c r="J36" s="3"/>
      <c r="K36" s="3"/>
      <c r="L36" s="3"/>
      <c r="M36" s="3"/>
      <c r="N36" s="3"/>
      <c r="O36" s="3"/>
      <c r="P36" s="3"/>
      <c r="Q36" s="16"/>
      <c r="S36" s="17" t="s">
        <v>24</v>
      </c>
      <c r="T36" s="97" t="s">
        <v>92</v>
      </c>
      <c r="U36" s="97"/>
    </row>
    <row r="37" spans="2:21" outlineLevel="1" x14ac:dyDescent="0.35">
      <c r="B37" s="17" t="s">
        <v>25</v>
      </c>
      <c r="C37" s="58"/>
      <c r="D37" s="89"/>
      <c r="E37" s="90"/>
      <c r="F37" s="90"/>
      <c r="G37" s="90"/>
      <c r="H37" s="91"/>
      <c r="I37" s="65"/>
      <c r="J37" s="3"/>
      <c r="K37" s="3"/>
      <c r="L37" s="3"/>
      <c r="M37" s="3"/>
      <c r="N37" s="3"/>
      <c r="O37" s="3"/>
      <c r="P37" s="3"/>
      <c r="Q37" s="16"/>
      <c r="S37" s="17" t="s">
        <v>25</v>
      </c>
      <c r="T37" s="97" t="s">
        <v>92</v>
      </c>
      <c r="U37" s="97"/>
    </row>
    <row r="38" spans="2:21" outlineLevel="1" x14ac:dyDescent="0.35">
      <c r="B38" s="17" t="s">
        <v>26</v>
      </c>
      <c r="C38" s="58"/>
      <c r="D38" s="89"/>
      <c r="E38" s="90"/>
      <c r="F38" s="90"/>
      <c r="G38" s="90"/>
      <c r="H38" s="91"/>
      <c r="I38" s="65"/>
      <c r="J38" s="3"/>
      <c r="K38" s="3"/>
      <c r="L38" s="3"/>
      <c r="M38" s="3"/>
      <c r="N38" s="3"/>
      <c r="O38" s="3"/>
      <c r="P38" s="3"/>
      <c r="Q38" s="16"/>
      <c r="S38" s="17" t="s">
        <v>26</v>
      </c>
      <c r="T38" s="97" t="s">
        <v>92</v>
      </c>
      <c r="U38" s="97"/>
    </row>
    <row r="39" spans="2:21" outlineLevel="1" x14ac:dyDescent="0.35">
      <c r="B39" s="17" t="s">
        <v>27</v>
      </c>
      <c r="C39" s="58"/>
      <c r="D39" s="89"/>
      <c r="E39" s="90"/>
      <c r="F39" s="90"/>
      <c r="G39" s="90"/>
      <c r="H39" s="91"/>
      <c r="I39" s="65"/>
      <c r="J39" s="3"/>
      <c r="K39" s="3"/>
      <c r="L39" s="3"/>
      <c r="M39" s="3"/>
      <c r="N39" s="3"/>
      <c r="O39" s="3"/>
      <c r="P39" s="3"/>
      <c r="Q39" s="16"/>
      <c r="S39" s="17" t="s">
        <v>27</v>
      </c>
      <c r="T39" s="97" t="s">
        <v>92</v>
      </c>
      <c r="U39" s="97"/>
    </row>
    <row r="40" spans="2:21" outlineLevel="1" x14ac:dyDescent="0.35">
      <c r="B40" s="17" t="s">
        <v>28</v>
      </c>
      <c r="C40" s="58"/>
      <c r="D40" s="89"/>
      <c r="E40" s="90"/>
      <c r="F40" s="90"/>
      <c r="G40" s="90"/>
      <c r="H40" s="91"/>
      <c r="I40" s="65"/>
      <c r="J40" s="3"/>
      <c r="K40" s="3"/>
      <c r="L40" s="3"/>
      <c r="M40" s="3"/>
      <c r="N40" s="3"/>
      <c r="O40" s="3"/>
      <c r="P40" s="3"/>
      <c r="Q40" s="16"/>
      <c r="S40" s="17" t="s">
        <v>28</v>
      </c>
      <c r="T40" s="97" t="s">
        <v>92</v>
      </c>
      <c r="U40" s="97"/>
    </row>
    <row r="41" spans="2:21" outlineLevel="1" x14ac:dyDescent="0.35">
      <c r="B41" s="17" t="s">
        <v>29</v>
      </c>
      <c r="C41" s="58"/>
      <c r="D41" s="89"/>
      <c r="E41" s="90"/>
      <c r="F41" s="90"/>
      <c r="G41" s="90"/>
      <c r="H41" s="91"/>
      <c r="I41" s="65"/>
      <c r="J41" s="3"/>
      <c r="K41" s="3"/>
      <c r="L41" s="3"/>
      <c r="M41" s="3"/>
      <c r="N41" s="3"/>
      <c r="O41" s="3"/>
      <c r="P41" s="3"/>
      <c r="Q41" s="16"/>
      <c r="S41" s="17" t="s">
        <v>29</v>
      </c>
      <c r="T41" s="97" t="s">
        <v>92</v>
      </c>
      <c r="U41" s="97"/>
    </row>
    <row r="42" spans="2:21" outlineLevel="1" x14ac:dyDescent="0.35">
      <c r="B42" s="17" t="s">
        <v>30</v>
      </c>
      <c r="C42" s="58"/>
      <c r="D42" s="89"/>
      <c r="E42" s="90"/>
      <c r="F42" s="90"/>
      <c r="G42" s="90"/>
      <c r="H42" s="91"/>
      <c r="I42" s="65"/>
      <c r="J42" s="3"/>
      <c r="K42" s="3"/>
      <c r="L42" s="3"/>
      <c r="M42" s="3"/>
      <c r="N42" s="3"/>
      <c r="O42" s="3"/>
      <c r="P42" s="3"/>
      <c r="Q42" s="16"/>
      <c r="S42" s="17" t="s">
        <v>30</v>
      </c>
      <c r="T42" s="97" t="s">
        <v>92</v>
      </c>
      <c r="U42" s="97"/>
    </row>
    <row r="43" spans="2:21" outlineLevel="1" x14ac:dyDescent="0.35">
      <c r="B43" s="17" t="s">
        <v>31</v>
      </c>
      <c r="C43" s="58"/>
      <c r="D43" s="89"/>
      <c r="E43" s="90"/>
      <c r="F43" s="90"/>
      <c r="G43" s="90"/>
      <c r="H43" s="91"/>
      <c r="I43" s="65"/>
      <c r="J43" s="3"/>
      <c r="K43" s="3"/>
      <c r="L43" s="3"/>
      <c r="M43" s="3"/>
      <c r="N43" s="3"/>
      <c r="O43" s="3"/>
      <c r="P43" s="3"/>
      <c r="Q43" s="16"/>
      <c r="S43" s="17" t="s">
        <v>31</v>
      </c>
      <c r="T43" s="97" t="s">
        <v>92</v>
      </c>
      <c r="U43" s="97"/>
    </row>
    <row r="44" spans="2:21" outlineLevel="1" x14ac:dyDescent="0.35">
      <c r="B44" s="17" t="s">
        <v>32</v>
      </c>
      <c r="C44" s="58"/>
      <c r="D44" s="89"/>
      <c r="E44" s="90"/>
      <c r="F44" s="90"/>
      <c r="G44" s="90"/>
      <c r="H44" s="91"/>
      <c r="I44" s="65"/>
      <c r="J44" s="3"/>
      <c r="K44" s="3"/>
      <c r="L44" s="3"/>
      <c r="M44" s="3"/>
      <c r="N44" s="3"/>
      <c r="O44" s="3"/>
      <c r="P44" s="3"/>
      <c r="Q44" s="16"/>
      <c r="S44" s="17" t="s">
        <v>32</v>
      </c>
      <c r="T44" s="97" t="s">
        <v>92</v>
      </c>
      <c r="U44" s="97"/>
    </row>
    <row r="45" spans="2:21" outlineLevel="1" x14ac:dyDescent="0.35">
      <c r="B45" s="17" t="s">
        <v>33</v>
      </c>
      <c r="C45" s="58"/>
      <c r="D45" s="89"/>
      <c r="E45" s="90"/>
      <c r="F45" s="90"/>
      <c r="G45" s="90"/>
      <c r="H45" s="91"/>
      <c r="I45" s="65"/>
      <c r="J45" s="3"/>
      <c r="K45" s="3"/>
      <c r="L45" s="3"/>
      <c r="M45" s="3"/>
      <c r="N45" s="3"/>
      <c r="O45" s="3"/>
      <c r="P45" s="3"/>
      <c r="Q45" s="16"/>
      <c r="S45" s="17" t="s">
        <v>33</v>
      </c>
      <c r="T45" s="97" t="s">
        <v>92</v>
      </c>
      <c r="U45" s="97"/>
    </row>
    <row r="46" spans="2:21" outlineLevel="1" x14ac:dyDescent="0.35">
      <c r="B46" s="17" t="s">
        <v>34</v>
      </c>
      <c r="C46" s="58"/>
      <c r="D46" s="89"/>
      <c r="E46" s="90"/>
      <c r="F46" s="90"/>
      <c r="G46" s="90"/>
      <c r="H46" s="91"/>
      <c r="I46" s="65"/>
      <c r="J46" s="3"/>
      <c r="K46" s="3"/>
      <c r="L46" s="3"/>
      <c r="M46" s="3"/>
      <c r="N46" s="3"/>
      <c r="O46" s="3"/>
      <c r="P46" s="3"/>
      <c r="Q46" s="16"/>
      <c r="S46" s="17" t="s">
        <v>34</v>
      </c>
      <c r="T46" s="97" t="s">
        <v>92</v>
      </c>
      <c r="U46" s="97"/>
    </row>
    <row r="47" spans="2:21" outlineLevel="1" x14ac:dyDescent="0.35">
      <c r="B47" s="17" t="s">
        <v>35</v>
      </c>
      <c r="C47" s="58"/>
      <c r="D47" s="89"/>
      <c r="E47" s="90"/>
      <c r="F47" s="90"/>
      <c r="G47" s="90"/>
      <c r="H47" s="91"/>
      <c r="I47" s="65"/>
      <c r="J47" s="3"/>
      <c r="K47" s="3"/>
      <c r="L47" s="3"/>
      <c r="M47" s="3"/>
      <c r="N47" s="3"/>
      <c r="O47" s="3"/>
      <c r="P47" s="3"/>
      <c r="Q47" s="16"/>
      <c r="S47" s="17" t="s">
        <v>35</v>
      </c>
      <c r="T47" s="97" t="s">
        <v>92</v>
      </c>
      <c r="U47" s="97"/>
    </row>
    <row r="48" spans="2:21" outlineLevel="1" x14ac:dyDescent="0.35">
      <c r="B48" s="17" t="s">
        <v>64</v>
      </c>
      <c r="C48" s="58"/>
      <c r="D48" s="89"/>
      <c r="E48" s="90"/>
      <c r="F48" s="90"/>
      <c r="G48" s="90"/>
      <c r="H48" s="91"/>
      <c r="I48" s="65"/>
      <c r="J48" s="3"/>
      <c r="K48" s="3"/>
      <c r="L48" s="3"/>
      <c r="M48" s="3"/>
      <c r="N48" s="3"/>
      <c r="O48" s="3"/>
      <c r="P48" s="3"/>
      <c r="Q48" s="16"/>
      <c r="S48" s="17" t="s">
        <v>64</v>
      </c>
      <c r="T48" s="97" t="s">
        <v>92</v>
      </c>
      <c r="U48" s="97"/>
    </row>
    <row r="49" spans="2:21" outlineLevel="1" x14ac:dyDescent="0.35">
      <c r="B49" s="17" t="s">
        <v>36</v>
      </c>
      <c r="C49" s="58"/>
      <c r="D49" s="89"/>
      <c r="E49" s="90"/>
      <c r="F49" s="90"/>
      <c r="G49" s="90"/>
      <c r="H49" s="91"/>
      <c r="I49" s="65"/>
      <c r="J49" s="3"/>
      <c r="K49" s="3"/>
      <c r="L49" s="3"/>
      <c r="M49" s="3"/>
      <c r="N49" s="3"/>
      <c r="O49" s="3"/>
      <c r="P49" s="3"/>
      <c r="Q49" s="16"/>
      <c r="S49" s="17" t="s">
        <v>36</v>
      </c>
      <c r="T49" s="97" t="s">
        <v>92</v>
      </c>
      <c r="U49" s="97"/>
    </row>
    <row r="50" spans="2:21" outlineLevel="1" x14ac:dyDescent="0.35">
      <c r="B50" s="17" t="s">
        <v>37</v>
      </c>
      <c r="C50" s="58"/>
      <c r="D50" s="89"/>
      <c r="E50" s="90"/>
      <c r="F50" s="90"/>
      <c r="G50" s="90"/>
      <c r="H50" s="91"/>
      <c r="I50" s="65"/>
      <c r="J50" s="3"/>
      <c r="K50" s="3"/>
      <c r="L50" s="3"/>
      <c r="M50" s="3"/>
      <c r="N50" s="3"/>
      <c r="O50" s="3"/>
      <c r="P50" s="3"/>
      <c r="Q50" s="16"/>
      <c r="S50" s="17" t="s">
        <v>37</v>
      </c>
      <c r="T50" s="97" t="s">
        <v>92</v>
      </c>
      <c r="U50" s="97"/>
    </row>
    <row r="51" spans="2:21" outlineLevel="1" x14ac:dyDescent="0.35">
      <c r="B51" s="17" t="s">
        <v>38</v>
      </c>
      <c r="C51" s="58"/>
      <c r="D51" s="89">
        <v>6000</v>
      </c>
      <c r="E51" s="90">
        <v>2000</v>
      </c>
      <c r="F51" s="90">
        <v>2500</v>
      </c>
      <c r="G51" s="90">
        <v>2000</v>
      </c>
      <c r="H51" s="91">
        <v>2000</v>
      </c>
      <c r="I51" s="65"/>
      <c r="J51" s="3"/>
      <c r="K51" s="3"/>
      <c r="L51" s="3"/>
      <c r="M51" s="3"/>
      <c r="N51" s="3"/>
      <c r="O51" s="3"/>
      <c r="P51" s="3"/>
      <c r="Q51" s="16"/>
      <c r="S51" s="17" t="s">
        <v>38</v>
      </c>
      <c r="T51" s="97" t="s">
        <v>92</v>
      </c>
      <c r="U51" s="108" t="s">
        <v>96</v>
      </c>
    </row>
    <row r="52" spans="2:21" outlineLevel="1" x14ac:dyDescent="0.35">
      <c r="B52" s="17" t="s">
        <v>39</v>
      </c>
      <c r="C52" s="58"/>
      <c r="D52" s="89"/>
      <c r="E52" s="90"/>
      <c r="F52" s="90"/>
      <c r="G52" s="90"/>
      <c r="H52" s="91"/>
      <c r="I52" s="65"/>
      <c r="J52" s="3"/>
      <c r="K52" s="3"/>
      <c r="L52" s="3"/>
      <c r="M52" s="3"/>
      <c r="N52" s="3"/>
      <c r="O52" s="3"/>
      <c r="P52" s="3"/>
      <c r="Q52" s="16"/>
      <c r="S52" s="17" t="s">
        <v>39</v>
      </c>
      <c r="T52" s="97" t="s">
        <v>92</v>
      </c>
      <c r="U52" s="97"/>
    </row>
    <row r="53" spans="2:21" outlineLevel="1" x14ac:dyDescent="0.35">
      <c r="B53" s="17" t="s">
        <v>40</v>
      </c>
      <c r="C53" s="58"/>
      <c r="D53" s="89"/>
      <c r="E53" s="90"/>
      <c r="F53" s="90"/>
      <c r="G53" s="90"/>
      <c r="H53" s="91"/>
      <c r="I53" s="65"/>
      <c r="J53" s="3"/>
      <c r="K53" s="3"/>
      <c r="L53" s="3"/>
      <c r="M53" s="3"/>
      <c r="N53" s="3"/>
      <c r="O53" s="3"/>
      <c r="P53" s="3"/>
      <c r="Q53" s="16"/>
      <c r="S53" s="17" t="s">
        <v>40</v>
      </c>
      <c r="T53" s="97" t="s">
        <v>92</v>
      </c>
      <c r="U53" s="97"/>
    </row>
    <row r="54" spans="2:21" outlineLevel="1" x14ac:dyDescent="0.35">
      <c r="B54" s="17" t="s">
        <v>11</v>
      </c>
      <c r="C54" s="58"/>
      <c r="D54" s="89">
        <v>1200</v>
      </c>
      <c r="E54" s="90">
        <v>1200</v>
      </c>
      <c r="F54" s="90">
        <v>1200</v>
      </c>
      <c r="G54" s="90">
        <v>1200</v>
      </c>
      <c r="H54" s="91">
        <v>1200</v>
      </c>
      <c r="I54" s="65"/>
      <c r="J54" s="3"/>
      <c r="K54" s="3"/>
      <c r="L54" s="3"/>
      <c r="M54" s="3"/>
      <c r="N54" s="3"/>
      <c r="O54" s="3"/>
      <c r="P54" s="3"/>
      <c r="Q54" s="16"/>
      <c r="S54" s="17" t="s">
        <v>11</v>
      </c>
      <c r="T54" s="97" t="s">
        <v>92</v>
      </c>
      <c r="U54" s="97"/>
    </row>
    <row r="55" spans="2:21" x14ac:dyDescent="0.35">
      <c r="B55" s="41" t="s">
        <v>53</v>
      </c>
      <c r="C55" s="58"/>
      <c r="D55" s="76">
        <f>SUM(D33:D54)</f>
        <v>10800</v>
      </c>
      <c r="E55" s="3">
        <f t="shared" ref="E55:Q55" si="6">SUM(E33:E54)</f>
        <v>6800</v>
      </c>
      <c r="F55" s="3">
        <f t="shared" si="6"/>
        <v>8500</v>
      </c>
      <c r="G55" s="3">
        <f t="shared" si="6"/>
        <v>9200</v>
      </c>
      <c r="H55" s="16">
        <f t="shared" si="6"/>
        <v>9200</v>
      </c>
      <c r="I55" s="65">
        <f t="shared" si="6"/>
        <v>0</v>
      </c>
      <c r="J55" s="3">
        <f t="shared" si="6"/>
        <v>0</v>
      </c>
      <c r="K55" s="3">
        <f t="shared" si="6"/>
        <v>0</v>
      </c>
      <c r="L55" s="3">
        <f t="shared" si="6"/>
        <v>0</v>
      </c>
      <c r="M55" s="3">
        <f t="shared" si="6"/>
        <v>0</v>
      </c>
      <c r="N55" s="3">
        <f t="shared" si="6"/>
        <v>0</v>
      </c>
      <c r="O55" s="3">
        <f t="shared" si="6"/>
        <v>0</v>
      </c>
      <c r="P55" s="3">
        <f t="shared" si="6"/>
        <v>0</v>
      </c>
      <c r="Q55" s="16">
        <f t="shared" si="6"/>
        <v>0</v>
      </c>
    </row>
    <row r="56" spans="2:21" x14ac:dyDescent="0.35">
      <c r="B56" s="41" t="s">
        <v>54</v>
      </c>
      <c r="C56" s="58"/>
      <c r="D56" s="76">
        <f>SUM(D55,D30)</f>
        <v>10800</v>
      </c>
      <c r="E56" s="3">
        <f t="shared" ref="E56:Q56" si="7">SUM(E55,E30)</f>
        <v>6800</v>
      </c>
      <c r="F56" s="3">
        <f t="shared" si="7"/>
        <v>8500</v>
      </c>
      <c r="G56" s="3">
        <f t="shared" si="7"/>
        <v>9200</v>
      </c>
      <c r="H56" s="16">
        <f t="shared" si="7"/>
        <v>9200</v>
      </c>
      <c r="I56" s="65">
        <f t="shared" si="7"/>
        <v>0</v>
      </c>
      <c r="J56" s="3">
        <f t="shared" si="7"/>
        <v>0</v>
      </c>
      <c r="K56" s="3">
        <f t="shared" si="7"/>
        <v>0</v>
      </c>
      <c r="L56" s="3">
        <f t="shared" si="7"/>
        <v>0</v>
      </c>
      <c r="M56" s="3">
        <f t="shared" si="7"/>
        <v>0</v>
      </c>
      <c r="N56" s="3">
        <f t="shared" si="7"/>
        <v>0</v>
      </c>
      <c r="O56" s="3">
        <f t="shared" si="7"/>
        <v>0</v>
      </c>
      <c r="P56" s="3">
        <f t="shared" si="7"/>
        <v>0</v>
      </c>
      <c r="Q56" s="16">
        <f t="shared" si="7"/>
        <v>0</v>
      </c>
    </row>
    <row r="57" spans="2:21" ht="6" customHeight="1" x14ac:dyDescent="0.35">
      <c r="B57" s="22"/>
      <c r="C57" s="10"/>
      <c r="D57" s="79"/>
      <c r="E57" s="10"/>
      <c r="F57" s="10"/>
      <c r="G57" s="10"/>
      <c r="H57" s="23"/>
      <c r="I57" s="10"/>
      <c r="J57" s="10"/>
      <c r="K57" s="10"/>
      <c r="L57" s="10"/>
      <c r="M57" s="10"/>
      <c r="N57" s="10"/>
      <c r="O57" s="10"/>
      <c r="P57" s="10"/>
      <c r="Q57" s="23"/>
    </row>
    <row r="58" spans="2:21" x14ac:dyDescent="0.35">
      <c r="B58" s="40" t="s">
        <v>41</v>
      </c>
      <c r="C58" s="60"/>
      <c r="D58" s="80">
        <f t="shared" ref="D58:Q58" si="8">D21-D56</f>
        <v>3100</v>
      </c>
      <c r="E58" s="2">
        <f t="shared" si="8"/>
        <v>16400</v>
      </c>
      <c r="F58" s="2">
        <f t="shared" si="8"/>
        <v>35600</v>
      </c>
      <c r="G58" s="2">
        <f t="shared" si="8"/>
        <v>43000</v>
      </c>
      <c r="H58" s="20">
        <f t="shared" si="8"/>
        <v>56100</v>
      </c>
      <c r="I58" s="68">
        <f t="shared" si="8"/>
        <v>14600</v>
      </c>
      <c r="J58" s="2">
        <f t="shared" si="8"/>
        <v>14600</v>
      </c>
      <c r="K58" s="2">
        <f t="shared" si="8"/>
        <v>14600</v>
      </c>
      <c r="L58" s="2">
        <f t="shared" si="8"/>
        <v>14600</v>
      </c>
      <c r="M58" s="2">
        <f t="shared" si="8"/>
        <v>14600</v>
      </c>
      <c r="N58" s="2">
        <f t="shared" si="8"/>
        <v>14600</v>
      </c>
      <c r="O58" s="2">
        <f t="shared" si="8"/>
        <v>14600</v>
      </c>
      <c r="P58" s="2">
        <f t="shared" si="8"/>
        <v>14600</v>
      </c>
      <c r="Q58" s="20">
        <f t="shared" si="8"/>
        <v>14600</v>
      </c>
    </row>
    <row r="59" spans="2:21" x14ac:dyDescent="0.35">
      <c r="B59" s="41" t="s">
        <v>42</v>
      </c>
      <c r="C59" s="61"/>
      <c r="D59" s="81">
        <f t="shared" ref="D59:Q59" si="9">D58/D9</f>
        <v>0.19871794871794871</v>
      </c>
      <c r="E59" s="31">
        <f t="shared" si="9"/>
        <v>0.65863453815261042</v>
      </c>
      <c r="F59" s="31">
        <f t="shared" si="9"/>
        <v>0.77559912854030499</v>
      </c>
      <c r="G59" s="31">
        <f t="shared" si="9"/>
        <v>0.79629629629629628</v>
      </c>
      <c r="H59" s="32">
        <f t="shared" si="9"/>
        <v>0.8348214285714286</v>
      </c>
      <c r="I59" s="69">
        <f t="shared" si="9"/>
        <v>0.60833333333333328</v>
      </c>
      <c r="J59" s="31">
        <f t="shared" si="9"/>
        <v>0.60833333333333328</v>
      </c>
      <c r="K59" s="31">
        <f t="shared" si="9"/>
        <v>0.60833333333333328</v>
      </c>
      <c r="L59" s="31">
        <f t="shared" si="9"/>
        <v>0.60833333333333328</v>
      </c>
      <c r="M59" s="31">
        <f t="shared" si="9"/>
        <v>0.60833333333333328</v>
      </c>
      <c r="N59" s="31">
        <f t="shared" si="9"/>
        <v>0.60833333333333328</v>
      </c>
      <c r="O59" s="31">
        <f t="shared" si="9"/>
        <v>0.60833333333333328</v>
      </c>
      <c r="P59" s="31">
        <f t="shared" si="9"/>
        <v>0.60833333333333328</v>
      </c>
      <c r="Q59" s="32">
        <f t="shared" si="9"/>
        <v>0.60833333333333328</v>
      </c>
    </row>
    <row r="60" spans="2:21" ht="6" customHeight="1" x14ac:dyDescent="0.35">
      <c r="B60" s="22"/>
      <c r="C60" s="10"/>
      <c r="D60" s="79"/>
      <c r="E60" s="10"/>
      <c r="F60" s="10"/>
      <c r="G60" s="10"/>
      <c r="H60" s="23"/>
      <c r="I60" s="10"/>
      <c r="J60" s="10"/>
      <c r="K60" s="10"/>
      <c r="L60" s="10"/>
      <c r="M60" s="10"/>
      <c r="N60" s="10"/>
      <c r="O60" s="10"/>
      <c r="P60" s="10"/>
      <c r="Q60" s="23"/>
    </row>
    <row r="61" spans="2:21" x14ac:dyDescent="0.35">
      <c r="B61" s="41" t="s">
        <v>43</v>
      </c>
      <c r="C61" s="58"/>
      <c r="D61" s="76">
        <f>D80</f>
        <v>500</v>
      </c>
      <c r="E61" s="3">
        <f t="shared" ref="E61:H61" si="10">E80</f>
        <v>833.33333333333326</v>
      </c>
      <c r="F61" s="3">
        <f t="shared" si="10"/>
        <v>1166.6666666666665</v>
      </c>
      <c r="G61" s="3">
        <f t="shared" si="10"/>
        <v>1333.3333333333333</v>
      </c>
      <c r="H61" s="16">
        <f t="shared" si="10"/>
        <v>1333.3333333333333</v>
      </c>
      <c r="I61" s="65">
        <f t="shared" ref="I61:Q61" si="11">$D$80</f>
        <v>500</v>
      </c>
      <c r="J61" s="3">
        <f t="shared" si="11"/>
        <v>500</v>
      </c>
      <c r="K61" s="3">
        <f t="shared" si="11"/>
        <v>500</v>
      </c>
      <c r="L61" s="3">
        <f t="shared" si="11"/>
        <v>500</v>
      </c>
      <c r="M61" s="3">
        <f t="shared" si="11"/>
        <v>500</v>
      </c>
      <c r="N61" s="3">
        <f t="shared" si="11"/>
        <v>500</v>
      </c>
      <c r="O61" s="3">
        <f t="shared" si="11"/>
        <v>500</v>
      </c>
      <c r="P61" s="3">
        <f t="shared" si="11"/>
        <v>500</v>
      </c>
      <c r="Q61" s="16">
        <f t="shared" si="11"/>
        <v>500</v>
      </c>
    </row>
    <row r="62" spans="2:21" x14ac:dyDescent="0.35">
      <c r="B62" s="41" t="s">
        <v>44</v>
      </c>
      <c r="C62" s="58"/>
      <c r="D62" s="76"/>
      <c r="E62" s="3"/>
      <c r="F62" s="3"/>
      <c r="G62" s="3"/>
      <c r="H62" s="16"/>
      <c r="I62" s="65"/>
      <c r="J62" s="3"/>
      <c r="K62" s="3"/>
      <c r="L62" s="3"/>
      <c r="M62" s="3"/>
      <c r="N62" s="3"/>
      <c r="O62" s="3"/>
      <c r="P62" s="3"/>
      <c r="Q62" s="16"/>
    </row>
    <row r="63" spans="2:21" ht="6" customHeight="1" x14ac:dyDescent="0.35">
      <c r="B63" s="22"/>
      <c r="C63" s="10"/>
      <c r="D63" s="79"/>
      <c r="E63" s="10"/>
      <c r="F63" s="10"/>
      <c r="G63" s="10"/>
      <c r="H63" s="23"/>
      <c r="I63" s="10"/>
      <c r="J63" s="10"/>
      <c r="K63" s="10"/>
      <c r="L63" s="10"/>
      <c r="M63" s="10"/>
      <c r="N63" s="10"/>
      <c r="O63" s="10"/>
      <c r="P63" s="10"/>
      <c r="Q63" s="23"/>
    </row>
    <row r="64" spans="2:21" x14ac:dyDescent="0.35">
      <c r="B64" s="42" t="s">
        <v>45</v>
      </c>
      <c r="C64" s="60"/>
      <c r="D64" s="82">
        <f>D58-D61</f>
        <v>2600</v>
      </c>
      <c r="E64" s="6">
        <f t="shared" ref="E64:Q64" si="12">E58-E61</f>
        <v>15566.666666666666</v>
      </c>
      <c r="F64" s="6">
        <f t="shared" si="12"/>
        <v>34433.333333333336</v>
      </c>
      <c r="G64" s="6">
        <f t="shared" si="12"/>
        <v>41666.666666666664</v>
      </c>
      <c r="H64" s="24">
        <f t="shared" si="12"/>
        <v>54766.666666666664</v>
      </c>
      <c r="I64" s="70">
        <f t="shared" si="12"/>
        <v>14100</v>
      </c>
      <c r="J64" s="6">
        <f t="shared" si="12"/>
        <v>14100</v>
      </c>
      <c r="K64" s="6">
        <f t="shared" si="12"/>
        <v>14100</v>
      </c>
      <c r="L64" s="6">
        <f t="shared" si="12"/>
        <v>14100</v>
      </c>
      <c r="M64" s="6">
        <f t="shared" si="12"/>
        <v>14100</v>
      </c>
      <c r="N64" s="6">
        <f t="shared" si="12"/>
        <v>14100</v>
      </c>
      <c r="O64" s="6">
        <f t="shared" si="12"/>
        <v>14100</v>
      </c>
      <c r="P64" s="6">
        <f t="shared" si="12"/>
        <v>14100</v>
      </c>
      <c r="Q64" s="24">
        <f t="shared" si="12"/>
        <v>14100</v>
      </c>
    </row>
    <row r="65" spans="2:21" x14ac:dyDescent="0.35">
      <c r="B65" s="41" t="s">
        <v>55</v>
      </c>
      <c r="C65" s="60"/>
      <c r="D65" s="83">
        <f t="shared" ref="D65:Q65" si="13">IFERROR(D64/D$9,"NA")</f>
        <v>0.16666666666666666</v>
      </c>
      <c r="E65" s="33">
        <f t="shared" si="13"/>
        <v>0.62516733601070951</v>
      </c>
      <c r="F65" s="33">
        <f t="shared" si="13"/>
        <v>0.75018155410312282</v>
      </c>
      <c r="G65" s="33">
        <f t="shared" si="13"/>
        <v>0.77160493827160492</v>
      </c>
      <c r="H65" s="34">
        <f t="shared" si="13"/>
        <v>0.81498015873015872</v>
      </c>
      <c r="I65" s="71">
        <f t="shared" si="13"/>
        <v>0.58750000000000002</v>
      </c>
      <c r="J65" s="33">
        <f t="shared" si="13"/>
        <v>0.58750000000000002</v>
      </c>
      <c r="K65" s="33">
        <f t="shared" si="13"/>
        <v>0.58750000000000002</v>
      </c>
      <c r="L65" s="33">
        <f t="shared" si="13"/>
        <v>0.58750000000000002</v>
      </c>
      <c r="M65" s="33">
        <f t="shared" si="13"/>
        <v>0.58750000000000002</v>
      </c>
      <c r="N65" s="33">
        <f t="shared" si="13"/>
        <v>0.58750000000000002</v>
      </c>
      <c r="O65" s="33">
        <f t="shared" si="13"/>
        <v>0.58750000000000002</v>
      </c>
      <c r="P65" s="33">
        <f t="shared" si="13"/>
        <v>0.58750000000000002</v>
      </c>
      <c r="Q65" s="34">
        <f t="shared" si="13"/>
        <v>0.58750000000000002</v>
      </c>
    </row>
    <row r="66" spans="2:21" x14ac:dyDescent="0.35">
      <c r="B66" s="25" t="s">
        <v>100</v>
      </c>
      <c r="C66" s="60"/>
      <c r="D66" s="84">
        <f>IF(D64&gt;0,IF(D9&lt;100000,D64*3%,D64*15%),0)</f>
        <v>78</v>
      </c>
      <c r="E66" s="5">
        <f t="shared" ref="E66:H66" si="14">IF(E64&gt;0,IF(E9&lt;100000,E64*3%,E64*15%),0)</f>
        <v>466.99999999999994</v>
      </c>
      <c r="F66" s="5">
        <f t="shared" si="14"/>
        <v>1033</v>
      </c>
      <c r="G66" s="5">
        <f t="shared" si="14"/>
        <v>1249.9999999999998</v>
      </c>
      <c r="H66" s="26">
        <f t="shared" si="14"/>
        <v>1642.9999999999998</v>
      </c>
      <c r="I66" s="72">
        <f t="shared" ref="I66:Q66" si="15">I64*15%</f>
        <v>2115</v>
      </c>
      <c r="J66" s="5">
        <f t="shared" si="15"/>
        <v>2115</v>
      </c>
      <c r="K66" s="5">
        <f t="shared" si="15"/>
        <v>2115</v>
      </c>
      <c r="L66" s="5">
        <f t="shared" si="15"/>
        <v>2115</v>
      </c>
      <c r="M66" s="5">
        <f t="shared" si="15"/>
        <v>2115</v>
      </c>
      <c r="N66" s="5">
        <f t="shared" si="15"/>
        <v>2115</v>
      </c>
      <c r="O66" s="5">
        <f t="shared" si="15"/>
        <v>2115</v>
      </c>
      <c r="P66" s="5">
        <f t="shared" si="15"/>
        <v>2115</v>
      </c>
      <c r="Q66" s="26">
        <f t="shared" si="15"/>
        <v>2115</v>
      </c>
    </row>
    <row r="67" spans="2:21" ht="15.5" x14ac:dyDescent="0.35">
      <c r="B67" s="15" t="s">
        <v>134</v>
      </c>
      <c r="C67" s="58"/>
      <c r="D67" s="110">
        <f>D64-D66</f>
        <v>2522</v>
      </c>
      <c r="E67" s="111">
        <f t="shared" ref="E67:Q67" si="16">E64-E66</f>
        <v>15099.666666666666</v>
      </c>
      <c r="F67" s="111">
        <f t="shared" si="16"/>
        <v>33400.333333333336</v>
      </c>
      <c r="G67" s="111">
        <f t="shared" si="16"/>
        <v>40416.666666666664</v>
      </c>
      <c r="H67" s="112">
        <f t="shared" si="16"/>
        <v>53123.666666666664</v>
      </c>
      <c r="I67" s="65">
        <f t="shared" si="16"/>
        <v>11985</v>
      </c>
      <c r="J67" s="3">
        <f t="shared" si="16"/>
        <v>11985</v>
      </c>
      <c r="K67" s="3">
        <f t="shared" si="16"/>
        <v>11985</v>
      </c>
      <c r="L67" s="3">
        <f t="shared" si="16"/>
        <v>11985</v>
      </c>
      <c r="M67" s="3">
        <f t="shared" si="16"/>
        <v>11985</v>
      </c>
      <c r="N67" s="3">
        <f t="shared" si="16"/>
        <v>11985</v>
      </c>
      <c r="O67" s="3">
        <f t="shared" si="16"/>
        <v>11985</v>
      </c>
      <c r="P67" s="3">
        <f t="shared" si="16"/>
        <v>11985</v>
      </c>
      <c r="Q67" s="16">
        <f t="shared" si="16"/>
        <v>11985</v>
      </c>
    </row>
    <row r="68" spans="2:21" x14ac:dyDescent="0.35">
      <c r="B68" s="43" t="s">
        <v>67</v>
      </c>
      <c r="C68" s="62"/>
      <c r="D68" s="85">
        <f t="shared" ref="D68:Q68" si="17">D67/D9</f>
        <v>0.16166666666666665</v>
      </c>
      <c r="E68" s="11">
        <f t="shared" si="17"/>
        <v>0.60641231593038825</v>
      </c>
      <c r="F68" s="11">
        <f t="shared" si="17"/>
        <v>0.72767610748002909</v>
      </c>
      <c r="G68" s="11">
        <f t="shared" si="17"/>
        <v>0.74845679012345678</v>
      </c>
      <c r="H68" s="27">
        <f t="shared" si="17"/>
        <v>0.7905307539682539</v>
      </c>
      <c r="I68" s="73">
        <f t="shared" si="17"/>
        <v>0.49937500000000001</v>
      </c>
      <c r="J68" s="11">
        <f t="shared" si="17"/>
        <v>0.49937500000000001</v>
      </c>
      <c r="K68" s="11">
        <f t="shared" si="17"/>
        <v>0.49937500000000001</v>
      </c>
      <c r="L68" s="11">
        <f t="shared" si="17"/>
        <v>0.49937500000000001</v>
      </c>
      <c r="M68" s="11">
        <f t="shared" si="17"/>
        <v>0.49937500000000001</v>
      </c>
      <c r="N68" s="11">
        <f t="shared" si="17"/>
        <v>0.49937500000000001</v>
      </c>
      <c r="O68" s="11">
        <f t="shared" si="17"/>
        <v>0.49937500000000001</v>
      </c>
      <c r="P68" s="11">
        <f t="shared" si="17"/>
        <v>0.49937500000000001</v>
      </c>
      <c r="Q68" s="27">
        <f t="shared" si="17"/>
        <v>0.49937500000000001</v>
      </c>
    </row>
    <row r="69" spans="2:21" ht="15.5" x14ac:dyDescent="0.35">
      <c r="B69" s="19" t="s">
        <v>46</v>
      </c>
      <c r="C69" s="63"/>
      <c r="D69" s="86">
        <f>D67</f>
        <v>2522</v>
      </c>
      <c r="E69" s="35">
        <f t="shared" ref="E69:Q69" si="18">D69+E67</f>
        <v>17621.666666666664</v>
      </c>
      <c r="F69" s="35">
        <f t="shared" si="18"/>
        <v>51022</v>
      </c>
      <c r="G69" s="35">
        <f t="shared" si="18"/>
        <v>91438.666666666657</v>
      </c>
      <c r="H69" s="37">
        <f t="shared" si="18"/>
        <v>144562.33333333331</v>
      </c>
      <c r="I69" s="74">
        <f t="shared" si="18"/>
        <v>156547.33333333331</v>
      </c>
      <c r="J69" s="36">
        <f t="shared" si="18"/>
        <v>168532.33333333331</v>
      </c>
      <c r="K69" s="36">
        <f t="shared" si="18"/>
        <v>180517.33333333331</v>
      </c>
      <c r="L69" s="36">
        <f t="shared" si="18"/>
        <v>192502.33333333331</v>
      </c>
      <c r="M69" s="36">
        <f t="shared" si="18"/>
        <v>204487.33333333331</v>
      </c>
      <c r="N69" s="36">
        <f t="shared" si="18"/>
        <v>216472.33333333331</v>
      </c>
      <c r="O69" s="36">
        <f t="shared" si="18"/>
        <v>228457.33333333331</v>
      </c>
      <c r="P69" s="36">
        <f t="shared" si="18"/>
        <v>240442.33333333331</v>
      </c>
      <c r="Q69" s="37">
        <f t="shared" si="18"/>
        <v>252427.33333333331</v>
      </c>
    </row>
    <row r="70" spans="2:21" ht="6" customHeight="1" thickBot="1" x14ac:dyDescent="0.4">
      <c r="B70" s="28"/>
      <c r="C70" s="29"/>
      <c r="D70" s="87"/>
      <c r="E70" s="29"/>
      <c r="F70" s="29"/>
      <c r="G70" s="29"/>
      <c r="H70" s="30"/>
      <c r="I70" s="29"/>
      <c r="J70" s="29"/>
      <c r="K70" s="29"/>
      <c r="L70" s="29"/>
      <c r="M70" s="29"/>
      <c r="N70" s="29"/>
      <c r="O70" s="29"/>
      <c r="P70" s="29"/>
      <c r="Q70" s="30"/>
    </row>
    <row r="73" spans="2:21" x14ac:dyDescent="0.35">
      <c r="B73" s="4" t="s">
        <v>66</v>
      </c>
      <c r="D73">
        <v>1</v>
      </c>
      <c r="E73">
        <v>2</v>
      </c>
      <c r="F73">
        <v>3</v>
      </c>
      <c r="G73">
        <v>4</v>
      </c>
      <c r="H73">
        <v>5</v>
      </c>
    </row>
    <row r="74" spans="2:21" outlineLevel="1" x14ac:dyDescent="0.35">
      <c r="B74" s="4" t="s">
        <v>59</v>
      </c>
      <c r="C74" s="3"/>
      <c r="D74" s="90">
        <v>1500</v>
      </c>
      <c r="E74" s="3">
        <v>1000</v>
      </c>
      <c r="F74" s="3">
        <v>1000</v>
      </c>
      <c r="G74" s="3">
        <v>2000</v>
      </c>
      <c r="H74" s="3">
        <v>1000</v>
      </c>
      <c r="I74" s="3"/>
      <c r="J74" s="3"/>
      <c r="K74" s="3"/>
      <c r="L74" s="3"/>
      <c r="M74" s="3"/>
      <c r="N74" s="3"/>
      <c r="O74" s="3"/>
      <c r="P74" s="3"/>
      <c r="Q74" s="3"/>
      <c r="S74" s="17" t="s">
        <v>82</v>
      </c>
      <c r="T74" s="97" t="s">
        <v>92</v>
      </c>
      <c r="U74" s="108" t="s">
        <v>118</v>
      </c>
    </row>
    <row r="75" spans="2:21" outlineLevel="1" x14ac:dyDescent="0.35">
      <c r="B75" s="9" t="s">
        <v>56</v>
      </c>
      <c r="C75" s="90">
        <v>3</v>
      </c>
      <c r="D75" s="3">
        <f>D74/$C$75</f>
        <v>500</v>
      </c>
      <c r="E75" s="3">
        <f>D74/$C$75+E74/$C$75</f>
        <v>833.33333333333326</v>
      </c>
      <c r="F75" s="3">
        <f>D74/$C$75+E74/$C$75+F74/$C$75</f>
        <v>1166.6666666666665</v>
      </c>
      <c r="G75" s="3">
        <f>E74/$C$75+F74/$C$75+G74/$C$75</f>
        <v>1333.3333333333333</v>
      </c>
      <c r="H75" s="3">
        <f>F74/$C$75+G74/$C$75+H74/$C$75</f>
        <v>1333.3333333333333</v>
      </c>
      <c r="I75" s="3">
        <f t="shared" ref="I75:K75" si="19">G74/$C$75+H74/$C$75+I74/$C$75</f>
        <v>1000</v>
      </c>
      <c r="J75" s="3">
        <f t="shared" si="19"/>
        <v>333.33333333333331</v>
      </c>
      <c r="K75" s="3">
        <f t="shared" si="19"/>
        <v>0</v>
      </c>
      <c r="L75" s="3"/>
      <c r="M75" s="3"/>
      <c r="N75" s="3"/>
      <c r="O75" s="3"/>
      <c r="P75" s="3"/>
      <c r="Q75" s="3"/>
      <c r="R75" s="3"/>
    </row>
    <row r="76" spans="2:21" outlineLevel="1" x14ac:dyDescent="0.35">
      <c r="B76" s="4" t="s">
        <v>60</v>
      </c>
      <c r="C76" s="1"/>
      <c r="D76" s="104"/>
      <c r="E76" s="1"/>
      <c r="F76" s="1"/>
      <c r="G76" s="1"/>
      <c r="H76" s="1"/>
      <c r="I76" s="1"/>
      <c r="J76" s="1"/>
      <c r="K76" s="1"/>
      <c r="L76" s="1"/>
      <c r="M76" s="1"/>
      <c r="N76" s="1"/>
      <c r="O76" s="1"/>
      <c r="P76" s="1"/>
      <c r="Q76" s="1"/>
    </row>
    <row r="77" spans="2:21" outlineLevel="1" x14ac:dyDescent="0.35">
      <c r="B77" s="9" t="s">
        <v>56</v>
      </c>
      <c r="C77" s="104">
        <v>3</v>
      </c>
      <c r="D77" s="1"/>
      <c r="E77" s="1"/>
      <c r="F77" s="1"/>
      <c r="G77" s="1"/>
      <c r="H77" s="1"/>
      <c r="I77" s="1"/>
      <c r="J77" s="1"/>
      <c r="K77" s="1"/>
      <c r="L77" s="1"/>
      <c r="M77" s="1"/>
      <c r="N77" s="1"/>
      <c r="O77" s="1"/>
      <c r="P77" s="1"/>
      <c r="Q77" s="1"/>
    </row>
    <row r="78" spans="2:21" outlineLevel="1" x14ac:dyDescent="0.35">
      <c r="B78" s="4" t="s">
        <v>61</v>
      </c>
      <c r="C78" s="1"/>
      <c r="D78" s="104"/>
      <c r="E78" s="1"/>
      <c r="F78" s="1"/>
      <c r="G78" s="1"/>
      <c r="H78" s="1"/>
      <c r="I78" s="1"/>
      <c r="J78" s="1"/>
      <c r="K78" s="1"/>
      <c r="L78" s="1"/>
      <c r="M78" s="1"/>
      <c r="N78" s="1"/>
      <c r="O78" s="1"/>
      <c r="P78" s="1"/>
      <c r="Q78" s="1"/>
    </row>
    <row r="79" spans="2:21" outlineLevel="1" x14ac:dyDescent="0.35">
      <c r="B79" s="9" t="s">
        <v>56</v>
      </c>
      <c r="C79" s="104">
        <v>3</v>
      </c>
      <c r="D79" s="1"/>
      <c r="E79" s="1"/>
      <c r="F79" s="1"/>
      <c r="G79" s="1"/>
      <c r="H79" s="1"/>
      <c r="I79" s="1"/>
      <c r="J79" s="1"/>
      <c r="K79" s="1"/>
      <c r="L79" s="1"/>
      <c r="M79" s="1"/>
      <c r="N79" s="1"/>
      <c r="O79" s="1"/>
      <c r="P79" s="1"/>
      <c r="Q79" s="1"/>
    </row>
    <row r="80" spans="2:21" x14ac:dyDescent="0.35">
      <c r="B80" s="4" t="s">
        <v>62</v>
      </c>
      <c r="C80" s="1"/>
      <c r="D80" s="105">
        <f>(D74/$C$75)+(D76/$C$77)+(D78/$C$79)</f>
        <v>500</v>
      </c>
      <c r="E80" s="105">
        <f>(E74/$C$75)+(E76/$C$77)+(E78/$C$79)+IF((E$73-D$73)&lt;$C75,$D$74/$C$75)</f>
        <v>833.33333333333326</v>
      </c>
      <c r="F80" s="105">
        <f>(F74/$C$75)+(F76/$C$77)+(F78/$C$79)+IF((F$73-$D$73)&lt;$C75,$D$74/$C$75)+IF((F$73-$E$73)&lt;$C77,$E$74/$C$77)</f>
        <v>1166.6666666666665</v>
      </c>
      <c r="G80" s="105">
        <f>(G74/$C$75)+(G76/$C$77)+(G78/$C$79)+IF((G$73-$D$73)&lt;$C75,$D$74/$C$75)+IF((G$73-$E$73)&lt;$C75,$E$74/$C$75)+IF((G$73-$F$73)&lt;$C75,$F$74/$C$75)</f>
        <v>1333.3333333333333</v>
      </c>
      <c r="H80" s="105">
        <f>(H74/$C$75)+(H76/$C$77)+(H78/$C$79)+IF((H$73-$D$73)&lt;$C75,$D$74/$C$75)+IF((H$73-$E$73)&lt;$C75,$E$74/$C$75)+IF((H$73-$F$73)&lt;$C75,$F$74/$C$75)+IF((H$73-$G$73)&lt;$C75,$G$74/$C$75)</f>
        <v>1333.3333333333333</v>
      </c>
      <c r="I80" s="1"/>
      <c r="J80" s="1"/>
      <c r="K80" s="1"/>
      <c r="L80" s="1"/>
      <c r="M80" s="1"/>
      <c r="N80" s="1"/>
      <c r="O80" s="1"/>
      <c r="P80" s="1"/>
      <c r="Q80" s="1"/>
    </row>
    <row r="82" spans="2:2" x14ac:dyDescent="0.35">
      <c r="B82" s="8" t="s">
        <v>65</v>
      </c>
    </row>
  </sheetData>
  <dataConsolidate/>
  <mergeCells count="7">
    <mergeCell ref="C3:C4"/>
    <mergeCell ref="C5:C6"/>
    <mergeCell ref="C7:C8"/>
    <mergeCell ref="T5:U6"/>
    <mergeCell ref="S5:S6"/>
    <mergeCell ref="S7:S8"/>
    <mergeCell ref="T7:U8"/>
  </mergeCells>
  <conditionalFormatting sqref="D69:Q69">
    <cfRule type="cellIs" dxfId="3" priority="1" operator="greaterThanOrEqual">
      <formula>0</formula>
    </cfRule>
    <cfRule type="cellIs" dxfId="2" priority="2"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C5A2D-BE50-4600-BF11-DA51EE066132}">
  <sheetPr>
    <tabColor rgb="FFFFFF00"/>
  </sheetPr>
  <dimension ref="B1:U82"/>
  <sheetViews>
    <sheetView topLeftCell="A12" zoomScale="90" zoomScaleNormal="90" workbookViewId="0">
      <selection activeCell="D67" sqref="D67"/>
    </sheetView>
  </sheetViews>
  <sheetFormatPr defaultRowHeight="14.5" outlineLevelRow="1" x14ac:dyDescent="0.35"/>
  <cols>
    <col min="1" max="1" width="1" customWidth="1"/>
    <col min="2" max="2" width="53.453125" customWidth="1"/>
    <col min="3" max="3" width="19" customWidth="1"/>
    <col min="4" max="4" width="12.7265625" bestFit="1" customWidth="1"/>
    <col min="5" max="6" width="10.26953125" bestFit="1" customWidth="1"/>
    <col min="7" max="8" width="10.81640625" bestFit="1" customWidth="1"/>
    <col min="9" max="17" width="10.81640625" hidden="1" customWidth="1"/>
    <col min="18" max="18" width="3.26953125" customWidth="1"/>
    <col min="19" max="19" width="44.54296875" bestFit="1" customWidth="1"/>
    <col min="20" max="20" width="30.1796875" bestFit="1" customWidth="1"/>
    <col min="21" max="21" width="88" bestFit="1" customWidth="1"/>
  </cols>
  <sheetData>
    <row r="1" spans="2:21" ht="6" customHeight="1" thickBot="1" x14ac:dyDescent="0.4"/>
    <row r="2" spans="2:21" x14ac:dyDescent="0.35">
      <c r="B2" s="12" t="s">
        <v>0</v>
      </c>
      <c r="C2" s="56"/>
      <c r="D2" s="75" t="s">
        <v>1</v>
      </c>
      <c r="E2" s="13" t="s">
        <v>2</v>
      </c>
      <c r="F2" s="13" t="s">
        <v>3</v>
      </c>
      <c r="G2" s="13" t="s">
        <v>4</v>
      </c>
      <c r="H2" s="14" t="s">
        <v>5</v>
      </c>
      <c r="I2" s="64" t="s">
        <v>6</v>
      </c>
      <c r="J2" s="13" t="s">
        <v>7</v>
      </c>
      <c r="K2" s="13" t="s">
        <v>8</v>
      </c>
      <c r="L2" s="13" t="s">
        <v>9</v>
      </c>
      <c r="M2" s="13" t="s">
        <v>10</v>
      </c>
      <c r="N2" s="13" t="s">
        <v>47</v>
      </c>
      <c r="O2" s="13" t="s">
        <v>48</v>
      </c>
      <c r="P2" s="13" t="s">
        <v>49</v>
      </c>
      <c r="Q2" s="14" t="s">
        <v>50</v>
      </c>
      <c r="S2" s="96" t="s">
        <v>87</v>
      </c>
      <c r="T2" s="96" t="s">
        <v>88</v>
      </c>
      <c r="U2" s="96" t="s">
        <v>93</v>
      </c>
    </row>
    <row r="3" spans="2:21" ht="42" customHeight="1" x14ac:dyDescent="0.35">
      <c r="B3" s="88" t="s">
        <v>79</v>
      </c>
      <c r="C3" s="196" t="s">
        <v>125</v>
      </c>
      <c r="D3" s="89">
        <v>8</v>
      </c>
      <c r="E3" s="90">
        <v>9</v>
      </c>
      <c r="F3" s="90">
        <v>15</v>
      </c>
      <c r="G3" s="90">
        <v>16</v>
      </c>
      <c r="H3" s="91">
        <v>20</v>
      </c>
      <c r="I3" s="65">
        <v>12</v>
      </c>
      <c r="J3" s="3">
        <v>12</v>
      </c>
      <c r="K3" s="3">
        <v>12</v>
      </c>
      <c r="L3" s="3">
        <v>12</v>
      </c>
      <c r="M3" s="3">
        <v>12</v>
      </c>
      <c r="N3" s="3">
        <v>12</v>
      </c>
      <c r="O3" s="3">
        <v>12</v>
      </c>
      <c r="P3" s="3">
        <v>12</v>
      </c>
      <c r="Q3" s="16">
        <v>12</v>
      </c>
      <c r="S3" s="88" t="s">
        <v>79</v>
      </c>
      <c r="T3" s="97" t="s">
        <v>89</v>
      </c>
      <c r="U3" s="107" t="s">
        <v>119</v>
      </c>
    </row>
    <row r="4" spans="2:21" ht="42" customHeight="1" x14ac:dyDescent="0.35">
      <c r="B4" s="92" t="s">
        <v>80</v>
      </c>
      <c r="C4" s="197"/>
      <c r="D4" s="93">
        <v>1500</v>
      </c>
      <c r="E4" s="94">
        <v>2000</v>
      </c>
      <c r="F4" s="94">
        <v>2000</v>
      </c>
      <c r="G4" s="94">
        <v>2000</v>
      </c>
      <c r="H4" s="95">
        <v>2000</v>
      </c>
      <c r="I4" s="66">
        <v>2000</v>
      </c>
      <c r="J4" s="7">
        <v>2000</v>
      </c>
      <c r="K4" s="7">
        <v>2000</v>
      </c>
      <c r="L4" s="7">
        <v>2000</v>
      </c>
      <c r="M4" s="7">
        <v>2000</v>
      </c>
      <c r="N4" s="7">
        <v>2000</v>
      </c>
      <c r="O4" s="7">
        <v>2000</v>
      </c>
      <c r="P4" s="7">
        <v>2000</v>
      </c>
      <c r="Q4" s="18">
        <v>2000</v>
      </c>
      <c r="S4" s="88" t="s">
        <v>80</v>
      </c>
      <c r="T4" s="97" t="s">
        <v>89</v>
      </c>
      <c r="U4" s="106" t="s">
        <v>120</v>
      </c>
    </row>
    <row r="5" spans="2:21" x14ac:dyDescent="0.35">
      <c r="B5" s="92" t="s">
        <v>104</v>
      </c>
      <c r="C5" s="183" t="s">
        <v>129</v>
      </c>
      <c r="D5" s="93">
        <v>1</v>
      </c>
      <c r="E5" s="94">
        <v>1</v>
      </c>
      <c r="F5" s="94">
        <v>2</v>
      </c>
      <c r="G5" s="94">
        <v>2</v>
      </c>
      <c r="H5" s="95">
        <v>2</v>
      </c>
      <c r="I5" s="66"/>
      <c r="J5" s="7"/>
      <c r="K5" s="7"/>
      <c r="L5" s="7"/>
      <c r="M5" s="7"/>
      <c r="N5" s="7"/>
      <c r="O5" s="7"/>
      <c r="P5" s="7"/>
      <c r="Q5" s="18"/>
      <c r="S5" s="198" t="s">
        <v>121</v>
      </c>
      <c r="T5" s="192" t="s">
        <v>122</v>
      </c>
      <c r="U5" s="192"/>
    </row>
    <row r="6" spans="2:21" x14ac:dyDescent="0.35">
      <c r="B6" s="92" t="s">
        <v>103</v>
      </c>
      <c r="C6" s="184"/>
      <c r="D6" s="93">
        <v>2000</v>
      </c>
      <c r="E6" s="94">
        <v>2000</v>
      </c>
      <c r="F6" s="94">
        <v>2500</v>
      </c>
      <c r="G6" s="94">
        <v>2500</v>
      </c>
      <c r="H6" s="95">
        <v>2500</v>
      </c>
      <c r="I6" s="66"/>
      <c r="J6" s="7"/>
      <c r="K6" s="7"/>
      <c r="L6" s="7"/>
      <c r="M6" s="7"/>
      <c r="N6" s="7"/>
      <c r="O6" s="7"/>
      <c r="P6" s="7"/>
      <c r="Q6" s="18"/>
      <c r="S6" s="198"/>
      <c r="T6" s="192"/>
      <c r="U6" s="192"/>
    </row>
    <row r="7" spans="2:21" x14ac:dyDescent="0.35">
      <c r="B7" s="92" t="s">
        <v>101</v>
      </c>
      <c r="C7" s="183" t="s">
        <v>127</v>
      </c>
      <c r="D7" s="93">
        <v>400</v>
      </c>
      <c r="E7" s="94">
        <v>500</v>
      </c>
      <c r="F7" s="94">
        <v>600</v>
      </c>
      <c r="G7" s="94">
        <v>600</v>
      </c>
      <c r="H7" s="95">
        <v>600</v>
      </c>
      <c r="I7" s="66"/>
      <c r="J7" s="7"/>
      <c r="K7" s="7"/>
      <c r="L7" s="7"/>
      <c r="M7" s="7"/>
      <c r="N7" s="7"/>
      <c r="O7" s="7"/>
      <c r="P7" s="7"/>
      <c r="Q7" s="18"/>
      <c r="S7" s="198" t="s">
        <v>106</v>
      </c>
      <c r="T7" s="191" t="s">
        <v>117</v>
      </c>
      <c r="U7" s="191"/>
    </row>
    <row r="8" spans="2:21" x14ac:dyDescent="0.35">
      <c r="B8" s="92" t="s">
        <v>102</v>
      </c>
      <c r="C8" s="184"/>
      <c r="D8" s="93">
        <v>3</v>
      </c>
      <c r="E8" s="94">
        <v>3</v>
      </c>
      <c r="F8" s="94">
        <v>4</v>
      </c>
      <c r="G8" s="94">
        <v>4</v>
      </c>
      <c r="H8" s="95">
        <v>4</v>
      </c>
      <c r="I8" s="66"/>
      <c r="J8" s="7"/>
      <c r="K8" s="7"/>
      <c r="L8" s="7"/>
      <c r="M8" s="7"/>
      <c r="N8" s="7"/>
      <c r="O8" s="7"/>
      <c r="P8" s="7"/>
      <c r="Q8" s="18"/>
      <c r="S8" s="198"/>
      <c r="T8" s="191"/>
      <c r="U8" s="191"/>
    </row>
    <row r="9" spans="2:21" ht="15.5" x14ac:dyDescent="0.35">
      <c r="B9" s="19" t="s">
        <v>12</v>
      </c>
      <c r="C9" s="57"/>
      <c r="D9" s="78">
        <f>D3*D4+D5*D6+D7*D8</f>
        <v>15200</v>
      </c>
      <c r="E9" s="38">
        <f t="shared" ref="E9:H9" si="0">E3*E4+E5*E6+E7*E8</f>
        <v>21500</v>
      </c>
      <c r="F9" s="38">
        <f t="shared" si="0"/>
        <v>37400</v>
      </c>
      <c r="G9" s="38">
        <f t="shared" si="0"/>
        <v>39400</v>
      </c>
      <c r="H9" s="39">
        <f t="shared" si="0"/>
        <v>47400</v>
      </c>
      <c r="I9" s="67">
        <f t="shared" ref="I9:Q9" si="1">I3*I4</f>
        <v>24000</v>
      </c>
      <c r="J9" s="38">
        <f t="shared" si="1"/>
        <v>24000</v>
      </c>
      <c r="K9" s="38">
        <f t="shared" si="1"/>
        <v>24000</v>
      </c>
      <c r="L9" s="38">
        <f t="shared" si="1"/>
        <v>24000</v>
      </c>
      <c r="M9" s="38">
        <f t="shared" si="1"/>
        <v>24000</v>
      </c>
      <c r="N9" s="38">
        <f t="shared" si="1"/>
        <v>24000</v>
      </c>
      <c r="O9" s="38">
        <f t="shared" si="1"/>
        <v>24000</v>
      </c>
      <c r="P9" s="38">
        <f t="shared" si="1"/>
        <v>24000</v>
      </c>
      <c r="Q9" s="39">
        <f t="shared" si="1"/>
        <v>24000</v>
      </c>
      <c r="S9" s="44"/>
    </row>
    <row r="10" spans="2:21" ht="6" customHeight="1" x14ac:dyDescent="0.35">
      <c r="B10" s="22"/>
      <c r="C10" s="10"/>
      <c r="D10" s="79"/>
      <c r="E10" s="10"/>
      <c r="F10" s="10"/>
      <c r="G10" s="10"/>
      <c r="H10" s="23"/>
      <c r="I10" s="10"/>
      <c r="J10" s="10"/>
      <c r="K10" s="10"/>
      <c r="L10" s="10"/>
      <c r="M10" s="10"/>
      <c r="N10" s="10"/>
      <c r="O10" s="10"/>
      <c r="P10" s="10"/>
      <c r="Q10" s="23"/>
    </row>
    <row r="11" spans="2:21" outlineLevel="1" x14ac:dyDescent="0.35">
      <c r="B11" s="21" t="s">
        <v>14</v>
      </c>
      <c r="C11" s="57"/>
      <c r="D11" s="76"/>
      <c r="E11" s="3"/>
      <c r="F11" s="3"/>
      <c r="G11" s="3"/>
      <c r="H11" s="16"/>
      <c r="I11" s="65"/>
      <c r="J11" s="3"/>
      <c r="K11" s="3"/>
      <c r="L11" s="3"/>
      <c r="M11" s="3"/>
      <c r="N11" s="3"/>
      <c r="O11" s="3"/>
      <c r="P11" s="3"/>
      <c r="Q11" s="16"/>
      <c r="S11" s="21" t="s">
        <v>14</v>
      </c>
      <c r="T11" s="96" t="s">
        <v>91</v>
      </c>
      <c r="U11" s="96" t="s">
        <v>93</v>
      </c>
    </row>
    <row r="12" spans="2:21" outlineLevel="1" x14ac:dyDescent="0.35">
      <c r="B12" s="55" t="s">
        <v>83</v>
      </c>
      <c r="C12" s="58"/>
      <c r="D12" s="89">
        <v>1</v>
      </c>
      <c r="E12" s="90">
        <v>1</v>
      </c>
      <c r="F12" s="90">
        <v>1</v>
      </c>
      <c r="G12" s="90">
        <v>1</v>
      </c>
      <c r="H12" s="91">
        <v>1</v>
      </c>
      <c r="I12" s="65">
        <v>15</v>
      </c>
      <c r="J12" s="3">
        <v>15</v>
      </c>
      <c r="K12" s="3">
        <v>15</v>
      </c>
      <c r="L12" s="3">
        <v>15</v>
      </c>
      <c r="M12" s="3">
        <v>15</v>
      </c>
      <c r="N12" s="3">
        <v>15</v>
      </c>
      <c r="O12" s="3">
        <v>15</v>
      </c>
      <c r="P12" s="3">
        <v>15</v>
      </c>
      <c r="Q12" s="16">
        <v>15</v>
      </c>
      <c r="S12" s="55" t="s">
        <v>83</v>
      </c>
      <c r="T12" s="97" t="s">
        <v>92</v>
      </c>
      <c r="U12" s="108" t="s">
        <v>141</v>
      </c>
    </row>
    <row r="13" spans="2:21" outlineLevel="1" x14ac:dyDescent="0.35">
      <c r="B13" s="17"/>
      <c r="C13" s="58"/>
      <c r="D13" s="89"/>
      <c r="E13" s="90"/>
      <c r="F13" s="90"/>
      <c r="G13" s="90"/>
      <c r="H13" s="91"/>
      <c r="I13" s="65">
        <v>6000</v>
      </c>
      <c r="J13" s="3">
        <v>6000</v>
      </c>
      <c r="K13" s="3">
        <v>6000</v>
      </c>
      <c r="L13" s="3">
        <v>6000</v>
      </c>
      <c r="M13" s="3">
        <v>6000</v>
      </c>
      <c r="N13" s="3">
        <v>6000</v>
      </c>
      <c r="O13" s="3">
        <v>6000</v>
      </c>
      <c r="P13" s="3">
        <v>6000</v>
      </c>
      <c r="Q13" s="16">
        <v>6000</v>
      </c>
      <c r="S13" s="17"/>
      <c r="T13" s="97"/>
      <c r="U13" s="108"/>
    </row>
    <row r="14" spans="2:21" outlineLevel="1" x14ac:dyDescent="0.35">
      <c r="B14" s="17"/>
      <c r="C14" s="58"/>
      <c r="D14" s="89"/>
      <c r="E14" s="90"/>
      <c r="F14" s="90"/>
      <c r="G14" s="90"/>
      <c r="H14" s="91"/>
      <c r="I14" s="65">
        <v>100</v>
      </c>
      <c r="J14" s="3">
        <v>100</v>
      </c>
      <c r="K14" s="3">
        <v>100</v>
      </c>
      <c r="L14" s="3">
        <v>100</v>
      </c>
      <c r="M14" s="3">
        <v>100</v>
      </c>
      <c r="N14" s="3">
        <v>100</v>
      </c>
      <c r="O14" s="3">
        <v>100</v>
      </c>
      <c r="P14" s="3">
        <v>100</v>
      </c>
      <c r="Q14" s="16">
        <v>100</v>
      </c>
      <c r="S14" s="17"/>
      <c r="T14" s="97"/>
      <c r="U14" s="108"/>
    </row>
    <row r="15" spans="2:21" outlineLevel="1" x14ac:dyDescent="0.35">
      <c r="B15" s="17" t="s">
        <v>84</v>
      </c>
      <c r="C15" s="57"/>
      <c r="D15" s="89">
        <v>500</v>
      </c>
      <c r="E15" s="90">
        <v>500</v>
      </c>
      <c r="F15" s="90">
        <v>600</v>
      </c>
      <c r="G15" s="90">
        <v>600</v>
      </c>
      <c r="H15" s="91">
        <v>700</v>
      </c>
      <c r="I15" s="65">
        <v>100</v>
      </c>
      <c r="J15" s="3">
        <v>100</v>
      </c>
      <c r="K15" s="3">
        <v>100</v>
      </c>
      <c r="L15" s="3">
        <v>100</v>
      </c>
      <c r="M15" s="3">
        <v>100</v>
      </c>
      <c r="N15" s="3">
        <v>100</v>
      </c>
      <c r="O15" s="3">
        <v>100</v>
      </c>
      <c r="P15" s="3">
        <v>100</v>
      </c>
      <c r="Q15" s="16">
        <v>100</v>
      </c>
      <c r="S15" s="17" t="s">
        <v>84</v>
      </c>
      <c r="T15" s="97" t="s">
        <v>92</v>
      </c>
      <c r="U15" s="108" t="s">
        <v>97</v>
      </c>
    </row>
    <row r="16" spans="2:21" outlineLevel="1" x14ac:dyDescent="0.35">
      <c r="B16" s="17" t="s">
        <v>85</v>
      </c>
      <c r="C16" s="57"/>
      <c r="D16" s="89">
        <v>100</v>
      </c>
      <c r="E16" s="90">
        <v>100</v>
      </c>
      <c r="F16" s="90">
        <v>100</v>
      </c>
      <c r="G16" s="90">
        <v>100</v>
      </c>
      <c r="H16" s="91">
        <v>100</v>
      </c>
      <c r="I16" s="65">
        <v>100</v>
      </c>
      <c r="J16" s="3">
        <v>100</v>
      </c>
      <c r="K16" s="3">
        <v>100</v>
      </c>
      <c r="L16" s="3">
        <v>100</v>
      </c>
      <c r="M16" s="3">
        <v>100</v>
      </c>
      <c r="N16" s="3">
        <v>100</v>
      </c>
      <c r="O16" s="3">
        <v>100</v>
      </c>
      <c r="P16" s="3">
        <v>100</v>
      </c>
      <c r="Q16" s="16">
        <v>100</v>
      </c>
      <c r="S16" s="17" t="s">
        <v>85</v>
      </c>
      <c r="T16" s="97" t="s">
        <v>92</v>
      </c>
      <c r="U16" s="108"/>
    </row>
    <row r="17" spans="2:21" outlineLevel="1" x14ac:dyDescent="0.35">
      <c r="B17" s="17" t="s">
        <v>86</v>
      </c>
      <c r="C17" s="58"/>
      <c r="D17" s="89">
        <v>1000</v>
      </c>
      <c r="E17" s="90">
        <v>1000</v>
      </c>
      <c r="F17" s="90">
        <v>1000</v>
      </c>
      <c r="G17" s="90">
        <v>1000</v>
      </c>
      <c r="H17" s="91">
        <v>1000</v>
      </c>
      <c r="I17" s="65">
        <f t="shared" ref="I17:Q17" si="2">200*I12</f>
        <v>3000</v>
      </c>
      <c r="J17" s="3">
        <f t="shared" si="2"/>
        <v>3000</v>
      </c>
      <c r="K17" s="3">
        <f t="shared" si="2"/>
        <v>3000</v>
      </c>
      <c r="L17" s="3">
        <f t="shared" si="2"/>
        <v>3000</v>
      </c>
      <c r="M17" s="3">
        <f t="shared" si="2"/>
        <v>3000</v>
      </c>
      <c r="N17" s="3">
        <f t="shared" si="2"/>
        <v>3000</v>
      </c>
      <c r="O17" s="3">
        <f t="shared" si="2"/>
        <v>3000</v>
      </c>
      <c r="P17" s="3">
        <f t="shared" si="2"/>
        <v>3000</v>
      </c>
      <c r="Q17" s="16">
        <f t="shared" si="2"/>
        <v>3000</v>
      </c>
      <c r="S17" s="17" t="s">
        <v>86</v>
      </c>
      <c r="T17" s="97" t="s">
        <v>92</v>
      </c>
      <c r="U17" s="106" t="s">
        <v>98</v>
      </c>
    </row>
    <row r="18" spans="2:21" outlineLevel="1" x14ac:dyDescent="0.35">
      <c r="B18" s="17" t="s">
        <v>15</v>
      </c>
      <c r="C18" s="58"/>
      <c r="D18" s="89">
        <v>100</v>
      </c>
      <c r="E18" s="90">
        <v>100</v>
      </c>
      <c r="F18" s="90">
        <v>100</v>
      </c>
      <c r="G18" s="90">
        <v>100</v>
      </c>
      <c r="H18" s="91">
        <v>100</v>
      </c>
      <c r="I18" s="65">
        <v>100</v>
      </c>
      <c r="J18" s="3">
        <v>100</v>
      </c>
      <c r="K18" s="3">
        <v>100</v>
      </c>
      <c r="L18" s="3">
        <v>100</v>
      </c>
      <c r="M18" s="3">
        <v>100</v>
      </c>
      <c r="N18" s="3">
        <v>100</v>
      </c>
      <c r="O18" s="3">
        <v>100</v>
      </c>
      <c r="P18" s="3">
        <v>100</v>
      </c>
      <c r="Q18" s="16">
        <v>100</v>
      </c>
      <c r="S18" s="17" t="s">
        <v>15</v>
      </c>
      <c r="T18" s="97" t="s">
        <v>92</v>
      </c>
      <c r="U18" s="108"/>
    </row>
    <row r="19" spans="2:21" x14ac:dyDescent="0.35">
      <c r="B19" s="41" t="s">
        <v>51</v>
      </c>
      <c r="C19" s="58"/>
      <c r="D19" s="76">
        <f>SUM(D13:D18)</f>
        <v>1700</v>
      </c>
      <c r="E19" s="3">
        <f t="shared" ref="E19:Q19" si="3">SUM(E13:E18)</f>
        <v>1700</v>
      </c>
      <c r="F19" s="3">
        <f t="shared" si="3"/>
        <v>1800</v>
      </c>
      <c r="G19" s="3">
        <f t="shared" si="3"/>
        <v>1800</v>
      </c>
      <c r="H19" s="16">
        <f t="shared" si="3"/>
        <v>1900</v>
      </c>
      <c r="I19" s="3">
        <f t="shared" si="3"/>
        <v>9400</v>
      </c>
      <c r="J19" s="3">
        <f t="shared" si="3"/>
        <v>9400</v>
      </c>
      <c r="K19" s="3">
        <f t="shared" si="3"/>
        <v>9400</v>
      </c>
      <c r="L19" s="3">
        <f t="shared" si="3"/>
        <v>9400</v>
      </c>
      <c r="M19" s="3">
        <f t="shared" si="3"/>
        <v>9400</v>
      </c>
      <c r="N19" s="3">
        <f t="shared" si="3"/>
        <v>9400</v>
      </c>
      <c r="O19" s="3">
        <f t="shared" si="3"/>
        <v>9400</v>
      </c>
      <c r="P19" s="3">
        <f t="shared" si="3"/>
        <v>9400</v>
      </c>
      <c r="Q19" s="16">
        <f t="shared" si="3"/>
        <v>9400</v>
      </c>
      <c r="U19" s="109"/>
    </row>
    <row r="20" spans="2:21" ht="6" customHeight="1" x14ac:dyDescent="0.35">
      <c r="B20" s="22"/>
      <c r="C20" s="10"/>
      <c r="D20" s="79"/>
      <c r="E20" s="10"/>
      <c r="F20" s="10"/>
      <c r="G20" s="10"/>
      <c r="H20" s="23"/>
      <c r="I20" s="10"/>
      <c r="J20" s="10"/>
      <c r="K20" s="10"/>
      <c r="L20" s="10"/>
      <c r="M20" s="10"/>
      <c r="N20" s="10"/>
      <c r="O20" s="10"/>
      <c r="P20" s="10"/>
      <c r="Q20" s="23"/>
    </row>
    <row r="21" spans="2:21" ht="15.5" x14ac:dyDescent="0.35">
      <c r="B21" s="19" t="s">
        <v>13</v>
      </c>
      <c r="C21" s="59"/>
      <c r="D21" s="78">
        <f>D9-D19</f>
        <v>13500</v>
      </c>
      <c r="E21" s="38">
        <f t="shared" ref="E21:Q21" si="4">E9-E19</f>
        <v>19800</v>
      </c>
      <c r="F21" s="38">
        <f t="shared" si="4"/>
        <v>35600</v>
      </c>
      <c r="G21" s="38">
        <f t="shared" si="4"/>
        <v>37600</v>
      </c>
      <c r="H21" s="39">
        <f t="shared" si="4"/>
        <v>45500</v>
      </c>
      <c r="I21" s="67">
        <f t="shared" si="4"/>
        <v>14600</v>
      </c>
      <c r="J21" s="38">
        <f t="shared" si="4"/>
        <v>14600</v>
      </c>
      <c r="K21" s="38">
        <f t="shared" si="4"/>
        <v>14600</v>
      </c>
      <c r="L21" s="38">
        <f t="shared" si="4"/>
        <v>14600</v>
      </c>
      <c r="M21" s="38">
        <f t="shared" si="4"/>
        <v>14600</v>
      </c>
      <c r="N21" s="38">
        <f t="shared" si="4"/>
        <v>14600</v>
      </c>
      <c r="O21" s="38">
        <f t="shared" si="4"/>
        <v>14600</v>
      </c>
      <c r="P21" s="38">
        <f t="shared" si="4"/>
        <v>14600</v>
      </c>
      <c r="Q21" s="39">
        <f t="shared" si="4"/>
        <v>14600</v>
      </c>
    </row>
    <row r="22" spans="2:21" ht="6" customHeight="1" x14ac:dyDescent="0.35">
      <c r="B22" s="22"/>
      <c r="C22" s="10"/>
      <c r="D22" s="79"/>
      <c r="E22" s="10"/>
      <c r="F22" s="10"/>
      <c r="G22" s="10"/>
      <c r="H22" s="23"/>
      <c r="I22" s="10"/>
      <c r="J22" s="10"/>
      <c r="K22" s="10"/>
      <c r="L22" s="10"/>
      <c r="M22" s="10"/>
      <c r="N22" s="10"/>
      <c r="O22" s="10"/>
      <c r="P22" s="10"/>
      <c r="Q22" s="23"/>
    </row>
    <row r="23" spans="2:21" outlineLevel="1" x14ac:dyDescent="0.35">
      <c r="B23" s="21" t="s">
        <v>16</v>
      </c>
      <c r="C23" s="58"/>
      <c r="D23" s="76"/>
      <c r="E23" s="3"/>
      <c r="F23" s="3"/>
      <c r="G23" s="3"/>
      <c r="H23" s="16"/>
      <c r="I23" s="65"/>
      <c r="J23" s="3"/>
      <c r="K23" s="3"/>
      <c r="L23" s="3"/>
      <c r="M23" s="3"/>
      <c r="N23" s="3"/>
      <c r="O23" s="3"/>
      <c r="P23" s="3"/>
      <c r="Q23" s="16"/>
      <c r="S23" s="21" t="s">
        <v>16</v>
      </c>
      <c r="T23" s="96" t="s">
        <v>91</v>
      </c>
      <c r="U23" s="96" t="s">
        <v>93</v>
      </c>
    </row>
    <row r="24" spans="2:21" outlineLevel="1" x14ac:dyDescent="0.35">
      <c r="B24" s="17" t="s">
        <v>17</v>
      </c>
      <c r="C24" s="58"/>
      <c r="D24" s="89"/>
      <c r="E24" s="90"/>
      <c r="F24" s="90"/>
      <c r="G24" s="90"/>
      <c r="H24" s="91"/>
      <c r="I24" s="65"/>
      <c r="J24" s="3"/>
      <c r="K24" s="3"/>
      <c r="L24" s="3"/>
      <c r="M24" s="3"/>
      <c r="N24" s="3"/>
      <c r="O24" s="3"/>
      <c r="P24" s="3"/>
      <c r="Q24" s="16"/>
      <c r="S24" s="17" t="s">
        <v>17</v>
      </c>
      <c r="T24" s="97" t="s">
        <v>92</v>
      </c>
      <c r="U24" s="114"/>
    </row>
    <row r="25" spans="2:21" outlineLevel="1" x14ac:dyDescent="0.35">
      <c r="B25" s="17" t="s">
        <v>18</v>
      </c>
      <c r="C25" s="58"/>
      <c r="D25" s="89"/>
      <c r="E25" s="90"/>
      <c r="F25" s="90"/>
      <c r="G25" s="90"/>
      <c r="H25" s="91"/>
      <c r="I25" s="65"/>
      <c r="J25" s="3"/>
      <c r="K25" s="3"/>
      <c r="L25" s="3"/>
      <c r="M25" s="3"/>
      <c r="N25" s="3"/>
      <c r="O25" s="3"/>
      <c r="P25" s="3"/>
      <c r="Q25" s="16"/>
      <c r="S25" s="17" t="s">
        <v>18</v>
      </c>
      <c r="T25" s="97" t="s">
        <v>92</v>
      </c>
      <c r="U25" s="97"/>
    </row>
    <row r="26" spans="2:21" outlineLevel="1" x14ac:dyDescent="0.35">
      <c r="B26" s="17" t="s">
        <v>19</v>
      </c>
      <c r="C26" s="58"/>
      <c r="D26" s="89"/>
      <c r="E26" s="90"/>
      <c r="F26" s="90"/>
      <c r="G26" s="90"/>
      <c r="H26" s="91"/>
      <c r="I26" s="65"/>
      <c r="J26" s="3"/>
      <c r="K26" s="3"/>
      <c r="L26" s="3"/>
      <c r="M26" s="3"/>
      <c r="N26" s="3"/>
      <c r="O26" s="3"/>
      <c r="P26" s="3"/>
      <c r="Q26" s="16"/>
      <c r="S26" s="17" t="s">
        <v>19</v>
      </c>
      <c r="T26" s="97" t="s">
        <v>92</v>
      </c>
      <c r="U26" s="97"/>
    </row>
    <row r="27" spans="2:21" outlineLevel="1" x14ac:dyDescent="0.35">
      <c r="B27" s="17" t="s">
        <v>20</v>
      </c>
      <c r="C27" s="58"/>
      <c r="D27" s="89"/>
      <c r="E27" s="90"/>
      <c r="F27" s="90"/>
      <c r="G27" s="90"/>
      <c r="H27" s="91"/>
      <c r="I27" s="65"/>
      <c r="J27" s="3"/>
      <c r="K27" s="3"/>
      <c r="L27" s="3"/>
      <c r="M27" s="3"/>
      <c r="N27" s="3"/>
      <c r="O27" s="3"/>
      <c r="P27" s="3"/>
      <c r="Q27" s="16"/>
      <c r="S27" s="17" t="s">
        <v>20</v>
      </c>
      <c r="T27" s="97" t="s">
        <v>92</v>
      </c>
      <c r="U27" s="97"/>
    </row>
    <row r="28" spans="2:21" outlineLevel="1" x14ac:dyDescent="0.35">
      <c r="B28" s="17" t="s">
        <v>21</v>
      </c>
      <c r="C28" s="58"/>
      <c r="D28" s="89"/>
      <c r="E28" s="90"/>
      <c r="F28" s="90"/>
      <c r="G28" s="90"/>
      <c r="H28" s="91"/>
      <c r="I28" s="65"/>
      <c r="J28" s="3"/>
      <c r="K28" s="3"/>
      <c r="L28" s="3"/>
      <c r="M28" s="3"/>
      <c r="N28" s="3"/>
      <c r="O28" s="3"/>
      <c r="P28" s="3"/>
      <c r="Q28" s="16"/>
      <c r="S28" s="17" t="s">
        <v>21</v>
      </c>
      <c r="T28" s="97" t="s">
        <v>92</v>
      </c>
      <c r="U28" s="97"/>
    </row>
    <row r="29" spans="2:21" outlineLevel="1" x14ac:dyDescent="0.35">
      <c r="B29" s="17" t="s">
        <v>22</v>
      </c>
      <c r="C29" s="58"/>
      <c r="D29" s="89"/>
      <c r="E29" s="90"/>
      <c r="F29" s="90"/>
      <c r="G29" s="90"/>
      <c r="H29" s="91"/>
      <c r="I29" s="65"/>
      <c r="J29" s="3"/>
      <c r="K29" s="3"/>
      <c r="L29" s="3"/>
      <c r="M29" s="3"/>
      <c r="N29" s="3"/>
      <c r="O29" s="3"/>
      <c r="P29" s="3"/>
      <c r="Q29" s="16"/>
      <c r="S29" s="17" t="s">
        <v>22</v>
      </c>
      <c r="T29" s="97" t="s">
        <v>92</v>
      </c>
      <c r="U29" s="97"/>
    </row>
    <row r="30" spans="2:21" x14ac:dyDescent="0.35">
      <c r="B30" s="41" t="s">
        <v>63</v>
      </c>
      <c r="C30" s="58"/>
      <c r="D30" s="76">
        <f>SUM(D24:D29)</f>
        <v>0</v>
      </c>
      <c r="E30" s="3">
        <f t="shared" ref="E30:Q30" si="5">SUM(E24:E29)</f>
        <v>0</v>
      </c>
      <c r="F30" s="3">
        <f t="shared" si="5"/>
        <v>0</v>
      </c>
      <c r="G30" s="3">
        <f t="shared" si="5"/>
        <v>0</v>
      </c>
      <c r="H30" s="16">
        <f t="shared" si="5"/>
        <v>0</v>
      </c>
      <c r="I30" s="65">
        <f t="shared" si="5"/>
        <v>0</v>
      </c>
      <c r="J30" s="3">
        <f t="shared" si="5"/>
        <v>0</v>
      </c>
      <c r="K30" s="3">
        <f t="shared" si="5"/>
        <v>0</v>
      </c>
      <c r="L30" s="3">
        <f t="shared" si="5"/>
        <v>0</v>
      </c>
      <c r="M30" s="3">
        <f t="shared" si="5"/>
        <v>0</v>
      </c>
      <c r="N30" s="3">
        <f t="shared" si="5"/>
        <v>0</v>
      </c>
      <c r="O30" s="3">
        <f t="shared" si="5"/>
        <v>0</v>
      </c>
      <c r="P30" s="3">
        <f t="shared" si="5"/>
        <v>0</v>
      </c>
      <c r="Q30" s="16">
        <f t="shared" si="5"/>
        <v>0</v>
      </c>
    </row>
    <row r="31" spans="2:21" ht="6" customHeight="1" x14ac:dyDescent="0.35">
      <c r="B31" s="22"/>
      <c r="C31" s="10"/>
      <c r="D31" s="79"/>
      <c r="E31" s="10"/>
      <c r="F31" s="10"/>
      <c r="G31" s="10"/>
      <c r="H31" s="23"/>
      <c r="I31" s="10"/>
      <c r="J31" s="10"/>
      <c r="K31" s="10"/>
      <c r="L31" s="10"/>
      <c r="M31" s="10"/>
      <c r="N31" s="10"/>
      <c r="O31" s="10"/>
      <c r="P31" s="10"/>
      <c r="Q31" s="23"/>
    </row>
    <row r="32" spans="2:21" outlineLevel="1" x14ac:dyDescent="0.35">
      <c r="B32" s="21" t="s">
        <v>52</v>
      </c>
      <c r="C32" s="58"/>
      <c r="D32" s="76"/>
      <c r="E32" s="3"/>
      <c r="F32" s="3"/>
      <c r="G32" s="3"/>
      <c r="H32" s="16"/>
      <c r="I32" s="65"/>
      <c r="J32" s="3"/>
      <c r="K32" s="3"/>
      <c r="L32" s="3"/>
      <c r="M32" s="3"/>
      <c r="N32" s="3"/>
      <c r="O32" s="3"/>
      <c r="P32" s="3"/>
      <c r="Q32" s="16"/>
      <c r="S32" s="21" t="s">
        <v>52</v>
      </c>
      <c r="T32" s="96" t="s">
        <v>91</v>
      </c>
      <c r="U32" s="96" t="s">
        <v>93</v>
      </c>
    </row>
    <row r="33" spans="2:21" ht="43.5" outlineLevel="1" x14ac:dyDescent="0.35">
      <c r="B33" s="17" t="s">
        <v>130</v>
      </c>
      <c r="C33" s="58"/>
      <c r="D33" s="89">
        <v>3600</v>
      </c>
      <c r="E33" s="90">
        <v>3600</v>
      </c>
      <c r="F33" s="90">
        <v>4800</v>
      </c>
      <c r="G33" s="90">
        <v>6000</v>
      </c>
      <c r="H33" s="91">
        <v>6000</v>
      </c>
      <c r="I33" s="65"/>
      <c r="J33" s="3"/>
      <c r="K33" s="3"/>
      <c r="L33" s="3"/>
      <c r="M33" s="3"/>
      <c r="N33" s="3"/>
      <c r="O33" s="3"/>
      <c r="P33" s="3"/>
      <c r="Q33" s="16"/>
      <c r="S33" s="17" t="s">
        <v>23</v>
      </c>
      <c r="T33" s="97" t="s">
        <v>92</v>
      </c>
      <c r="U33" s="114" t="s">
        <v>108</v>
      </c>
    </row>
    <row r="34" spans="2:21" outlineLevel="1" x14ac:dyDescent="0.35">
      <c r="B34" s="17" t="s">
        <v>57</v>
      </c>
      <c r="C34" s="58"/>
      <c r="D34" s="89"/>
      <c r="E34" s="90"/>
      <c r="F34" s="90"/>
      <c r="G34" s="90"/>
      <c r="H34" s="91"/>
      <c r="I34" s="65"/>
      <c r="J34" s="3"/>
      <c r="K34" s="3"/>
      <c r="L34" s="3"/>
      <c r="M34" s="3"/>
      <c r="N34" s="3"/>
      <c r="O34" s="3"/>
      <c r="P34" s="3"/>
      <c r="Q34" s="16"/>
      <c r="S34" s="17" t="s">
        <v>57</v>
      </c>
      <c r="T34" s="97" t="s">
        <v>92</v>
      </c>
      <c r="U34" s="97"/>
    </row>
    <row r="35" spans="2:21" outlineLevel="1" x14ac:dyDescent="0.35">
      <c r="B35" s="17" t="s">
        <v>58</v>
      </c>
      <c r="C35" s="58"/>
      <c r="D35" s="89"/>
      <c r="E35" s="90"/>
      <c r="F35" s="90"/>
      <c r="G35" s="90"/>
      <c r="H35" s="91"/>
      <c r="I35" s="65"/>
      <c r="J35" s="3"/>
      <c r="K35" s="3"/>
      <c r="L35" s="3"/>
      <c r="M35" s="3"/>
      <c r="N35" s="3"/>
      <c r="O35" s="3"/>
      <c r="P35" s="3"/>
      <c r="Q35" s="16"/>
      <c r="S35" s="17" t="s">
        <v>58</v>
      </c>
      <c r="T35" s="97" t="s">
        <v>92</v>
      </c>
      <c r="U35" s="97"/>
    </row>
    <row r="36" spans="2:21" outlineLevel="1" x14ac:dyDescent="0.35">
      <c r="B36" s="17" t="s">
        <v>24</v>
      </c>
      <c r="C36" s="58"/>
      <c r="D36" s="89"/>
      <c r="E36" s="90"/>
      <c r="F36" s="90"/>
      <c r="G36" s="90"/>
      <c r="H36" s="91"/>
      <c r="I36" s="65"/>
      <c r="J36" s="3"/>
      <c r="K36" s="3"/>
      <c r="L36" s="3"/>
      <c r="M36" s="3"/>
      <c r="N36" s="3"/>
      <c r="O36" s="3"/>
      <c r="P36" s="3"/>
      <c r="Q36" s="16"/>
      <c r="S36" s="17" t="s">
        <v>24</v>
      </c>
      <c r="T36" s="97" t="s">
        <v>92</v>
      </c>
      <c r="U36" s="97"/>
    </row>
    <row r="37" spans="2:21" outlineLevel="1" x14ac:dyDescent="0.35">
      <c r="B37" s="17" t="s">
        <v>25</v>
      </c>
      <c r="C37" s="58"/>
      <c r="D37" s="89"/>
      <c r="E37" s="90"/>
      <c r="F37" s="90"/>
      <c r="G37" s="90"/>
      <c r="H37" s="91"/>
      <c r="I37" s="65"/>
      <c r="J37" s="3"/>
      <c r="K37" s="3"/>
      <c r="L37" s="3"/>
      <c r="M37" s="3"/>
      <c r="N37" s="3"/>
      <c r="O37" s="3"/>
      <c r="P37" s="3"/>
      <c r="Q37" s="16"/>
      <c r="S37" s="17" t="s">
        <v>25</v>
      </c>
      <c r="T37" s="97" t="s">
        <v>92</v>
      </c>
      <c r="U37" s="97"/>
    </row>
    <row r="38" spans="2:21" outlineLevel="1" x14ac:dyDescent="0.35">
      <c r="B38" s="17" t="s">
        <v>26</v>
      </c>
      <c r="C38" s="58"/>
      <c r="D38" s="89"/>
      <c r="E38" s="90"/>
      <c r="F38" s="90"/>
      <c r="G38" s="90"/>
      <c r="H38" s="91"/>
      <c r="I38" s="65"/>
      <c r="J38" s="3"/>
      <c r="K38" s="3"/>
      <c r="L38" s="3"/>
      <c r="M38" s="3"/>
      <c r="N38" s="3"/>
      <c r="O38" s="3"/>
      <c r="P38" s="3"/>
      <c r="Q38" s="16"/>
      <c r="S38" s="17" t="s">
        <v>26</v>
      </c>
      <c r="T38" s="97" t="s">
        <v>92</v>
      </c>
      <c r="U38" s="97"/>
    </row>
    <row r="39" spans="2:21" outlineLevel="1" x14ac:dyDescent="0.35">
      <c r="B39" s="17" t="s">
        <v>27</v>
      </c>
      <c r="C39" s="58"/>
      <c r="D39" s="89"/>
      <c r="E39" s="90"/>
      <c r="F39" s="90"/>
      <c r="G39" s="90"/>
      <c r="H39" s="91"/>
      <c r="I39" s="65"/>
      <c r="J39" s="3"/>
      <c r="K39" s="3"/>
      <c r="L39" s="3"/>
      <c r="M39" s="3"/>
      <c r="N39" s="3"/>
      <c r="O39" s="3"/>
      <c r="P39" s="3"/>
      <c r="Q39" s="16"/>
      <c r="S39" s="17" t="s">
        <v>27</v>
      </c>
      <c r="T39" s="97" t="s">
        <v>92</v>
      </c>
      <c r="U39" s="97"/>
    </row>
    <row r="40" spans="2:21" outlineLevel="1" x14ac:dyDescent="0.35">
      <c r="B40" s="17" t="s">
        <v>28</v>
      </c>
      <c r="C40" s="58"/>
      <c r="D40" s="89"/>
      <c r="E40" s="90"/>
      <c r="F40" s="90"/>
      <c r="G40" s="90"/>
      <c r="H40" s="91"/>
      <c r="I40" s="65"/>
      <c r="J40" s="3"/>
      <c r="K40" s="3"/>
      <c r="L40" s="3"/>
      <c r="M40" s="3"/>
      <c r="N40" s="3"/>
      <c r="O40" s="3"/>
      <c r="P40" s="3"/>
      <c r="Q40" s="16"/>
      <c r="S40" s="17" t="s">
        <v>28</v>
      </c>
      <c r="T40" s="97" t="s">
        <v>92</v>
      </c>
      <c r="U40" s="97"/>
    </row>
    <row r="41" spans="2:21" outlineLevel="1" x14ac:dyDescent="0.35">
      <c r="B41" s="17" t="s">
        <v>29</v>
      </c>
      <c r="C41" s="58"/>
      <c r="D41" s="89"/>
      <c r="E41" s="90"/>
      <c r="F41" s="90"/>
      <c r="G41" s="90"/>
      <c r="H41" s="91"/>
      <c r="I41" s="65"/>
      <c r="J41" s="3"/>
      <c r="K41" s="3"/>
      <c r="L41" s="3"/>
      <c r="M41" s="3"/>
      <c r="N41" s="3"/>
      <c r="O41" s="3"/>
      <c r="P41" s="3"/>
      <c r="Q41" s="16"/>
      <c r="S41" s="17" t="s">
        <v>29</v>
      </c>
      <c r="T41" s="97" t="s">
        <v>92</v>
      </c>
      <c r="U41" s="97"/>
    </row>
    <row r="42" spans="2:21" outlineLevel="1" x14ac:dyDescent="0.35">
      <c r="B42" s="17" t="s">
        <v>30</v>
      </c>
      <c r="C42" s="58"/>
      <c r="D42" s="89"/>
      <c r="E42" s="90"/>
      <c r="F42" s="90"/>
      <c r="G42" s="90"/>
      <c r="H42" s="91"/>
      <c r="I42" s="65"/>
      <c r="J42" s="3"/>
      <c r="K42" s="3"/>
      <c r="L42" s="3"/>
      <c r="M42" s="3"/>
      <c r="N42" s="3"/>
      <c r="O42" s="3"/>
      <c r="P42" s="3"/>
      <c r="Q42" s="16"/>
      <c r="S42" s="17" t="s">
        <v>30</v>
      </c>
      <c r="T42" s="97" t="s">
        <v>92</v>
      </c>
      <c r="U42" s="97"/>
    </row>
    <row r="43" spans="2:21" outlineLevel="1" x14ac:dyDescent="0.35">
      <c r="B43" s="17" t="s">
        <v>31</v>
      </c>
      <c r="C43" s="58"/>
      <c r="D43" s="89"/>
      <c r="E43" s="90"/>
      <c r="F43" s="90"/>
      <c r="G43" s="90"/>
      <c r="H43" s="91"/>
      <c r="I43" s="65"/>
      <c r="J43" s="3"/>
      <c r="K43" s="3"/>
      <c r="L43" s="3"/>
      <c r="M43" s="3"/>
      <c r="N43" s="3"/>
      <c r="O43" s="3"/>
      <c r="P43" s="3"/>
      <c r="Q43" s="16"/>
      <c r="S43" s="17" t="s">
        <v>31</v>
      </c>
      <c r="T43" s="97" t="s">
        <v>92</v>
      </c>
      <c r="U43" s="97"/>
    </row>
    <row r="44" spans="2:21" outlineLevel="1" x14ac:dyDescent="0.35">
      <c r="B44" s="17" t="s">
        <v>32</v>
      </c>
      <c r="C44" s="58"/>
      <c r="D44" s="89"/>
      <c r="E44" s="90"/>
      <c r="F44" s="90"/>
      <c r="G44" s="90"/>
      <c r="H44" s="91"/>
      <c r="I44" s="65"/>
      <c r="J44" s="3"/>
      <c r="K44" s="3"/>
      <c r="L44" s="3"/>
      <c r="M44" s="3"/>
      <c r="N44" s="3"/>
      <c r="O44" s="3"/>
      <c r="P44" s="3"/>
      <c r="Q44" s="16"/>
      <c r="S44" s="17" t="s">
        <v>32</v>
      </c>
      <c r="T44" s="97" t="s">
        <v>92</v>
      </c>
      <c r="U44" s="97"/>
    </row>
    <row r="45" spans="2:21" outlineLevel="1" x14ac:dyDescent="0.35">
      <c r="B45" s="17" t="s">
        <v>33</v>
      </c>
      <c r="C45" s="58"/>
      <c r="D45" s="89"/>
      <c r="E45" s="90"/>
      <c r="F45" s="90"/>
      <c r="G45" s="90"/>
      <c r="H45" s="91"/>
      <c r="I45" s="65"/>
      <c r="J45" s="3"/>
      <c r="K45" s="3"/>
      <c r="L45" s="3"/>
      <c r="M45" s="3"/>
      <c r="N45" s="3"/>
      <c r="O45" s="3"/>
      <c r="P45" s="3"/>
      <c r="Q45" s="16"/>
      <c r="S45" s="17" t="s">
        <v>33</v>
      </c>
      <c r="T45" s="97" t="s">
        <v>92</v>
      </c>
      <c r="U45" s="97"/>
    </row>
    <row r="46" spans="2:21" outlineLevel="1" x14ac:dyDescent="0.35">
      <c r="B46" s="17" t="s">
        <v>34</v>
      </c>
      <c r="C46" s="58"/>
      <c r="D46" s="89"/>
      <c r="E46" s="90"/>
      <c r="F46" s="90"/>
      <c r="G46" s="90"/>
      <c r="H46" s="91"/>
      <c r="I46" s="65"/>
      <c r="J46" s="3"/>
      <c r="K46" s="3"/>
      <c r="L46" s="3"/>
      <c r="M46" s="3"/>
      <c r="N46" s="3"/>
      <c r="O46" s="3"/>
      <c r="P46" s="3"/>
      <c r="Q46" s="16"/>
      <c r="S46" s="17" t="s">
        <v>34</v>
      </c>
      <c r="T46" s="97" t="s">
        <v>92</v>
      </c>
      <c r="U46" s="97"/>
    </row>
    <row r="47" spans="2:21" outlineLevel="1" x14ac:dyDescent="0.35">
      <c r="B47" s="17" t="s">
        <v>35</v>
      </c>
      <c r="C47" s="58"/>
      <c r="D47" s="89"/>
      <c r="E47" s="90"/>
      <c r="F47" s="90"/>
      <c r="G47" s="90"/>
      <c r="H47" s="91"/>
      <c r="I47" s="65"/>
      <c r="J47" s="3"/>
      <c r="K47" s="3"/>
      <c r="L47" s="3"/>
      <c r="M47" s="3"/>
      <c r="N47" s="3"/>
      <c r="O47" s="3"/>
      <c r="P47" s="3"/>
      <c r="Q47" s="16"/>
      <c r="S47" s="17" t="s">
        <v>35</v>
      </c>
      <c r="T47" s="97" t="s">
        <v>92</v>
      </c>
      <c r="U47" s="97"/>
    </row>
    <row r="48" spans="2:21" outlineLevel="1" x14ac:dyDescent="0.35">
      <c r="B48" s="17" t="s">
        <v>64</v>
      </c>
      <c r="C48" s="58"/>
      <c r="D48" s="89"/>
      <c r="E48" s="90"/>
      <c r="F48" s="90"/>
      <c r="G48" s="90"/>
      <c r="H48" s="91"/>
      <c r="I48" s="65"/>
      <c r="J48" s="3"/>
      <c r="K48" s="3"/>
      <c r="L48" s="3"/>
      <c r="M48" s="3"/>
      <c r="N48" s="3"/>
      <c r="O48" s="3"/>
      <c r="P48" s="3"/>
      <c r="Q48" s="16"/>
      <c r="S48" s="17" t="s">
        <v>64</v>
      </c>
      <c r="T48" s="97" t="s">
        <v>92</v>
      </c>
      <c r="U48" s="97"/>
    </row>
    <row r="49" spans="2:21" outlineLevel="1" x14ac:dyDescent="0.35">
      <c r="B49" s="17" t="s">
        <v>36</v>
      </c>
      <c r="C49" s="58"/>
      <c r="D49" s="89"/>
      <c r="E49" s="90"/>
      <c r="F49" s="90"/>
      <c r="G49" s="90"/>
      <c r="H49" s="91"/>
      <c r="I49" s="65"/>
      <c r="J49" s="3"/>
      <c r="K49" s="3"/>
      <c r="L49" s="3"/>
      <c r="M49" s="3"/>
      <c r="N49" s="3"/>
      <c r="O49" s="3"/>
      <c r="P49" s="3"/>
      <c r="Q49" s="16"/>
      <c r="S49" s="17" t="s">
        <v>36</v>
      </c>
      <c r="T49" s="97" t="s">
        <v>92</v>
      </c>
      <c r="U49" s="97"/>
    </row>
    <row r="50" spans="2:21" outlineLevel="1" x14ac:dyDescent="0.35">
      <c r="B50" s="17" t="s">
        <v>37</v>
      </c>
      <c r="C50" s="58"/>
      <c r="D50" s="89"/>
      <c r="E50" s="90"/>
      <c r="F50" s="90"/>
      <c r="G50" s="90"/>
      <c r="H50" s="91"/>
      <c r="I50" s="65"/>
      <c r="J50" s="3"/>
      <c r="K50" s="3"/>
      <c r="L50" s="3"/>
      <c r="M50" s="3"/>
      <c r="N50" s="3"/>
      <c r="O50" s="3"/>
      <c r="P50" s="3"/>
      <c r="Q50" s="16"/>
      <c r="S50" s="17" t="s">
        <v>37</v>
      </c>
      <c r="T50" s="97" t="s">
        <v>92</v>
      </c>
      <c r="U50" s="97"/>
    </row>
    <row r="51" spans="2:21" outlineLevel="1" x14ac:dyDescent="0.35">
      <c r="B51" s="17" t="s">
        <v>38</v>
      </c>
      <c r="C51" s="58"/>
      <c r="D51" s="89">
        <v>4000</v>
      </c>
      <c r="E51" s="90">
        <v>1500</v>
      </c>
      <c r="F51" s="90">
        <v>2500</v>
      </c>
      <c r="G51" s="90">
        <v>2000</v>
      </c>
      <c r="H51" s="91">
        <v>2000</v>
      </c>
      <c r="I51" s="65"/>
      <c r="J51" s="3"/>
      <c r="K51" s="3"/>
      <c r="L51" s="3"/>
      <c r="M51" s="3"/>
      <c r="N51" s="3"/>
      <c r="O51" s="3"/>
      <c r="P51" s="3"/>
      <c r="Q51" s="16"/>
      <c r="S51" s="17" t="s">
        <v>38</v>
      </c>
      <c r="T51" s="97" t="s">
        <v>92</v>
      </c>
      <c r="U51" s="108" t="s">
        <v>142</v>
      </c>
    </row>
    <row r="52" spans="2:21" outlineLevel="1" x14ac:dyDescent="0.35">
      <c r="B52" s="17" t="s">
        <v>39</v>
      </c>
      <c r="C52" s="58"/>
      <c r="D52" s="89"/>
      <c r="E52" s="90"/>
      <c r="F52" s="90"/>
      <c r="G52" s="90"/>
      <c r="H52" s="91"/>
      <c r="I52" s="65"/>
      <c r="J52" s="3"/>
      <c r="K52" s="3"/>
      <c r="L52" s="3"/>
      <c r="M52" s="3"/>
      <c r="N52" s="3"/>
      <c r="O52" s="3"/>
      <c r="P52" s="3"/>
      <c r="Q52" s="16"/>
      <c r="S52" s="17" t="s">
        <v>39</v>
      </c>
      <c r="T52" s="97" t="s">
        <v>92</v>
      </c>
      <c r="U52" s="97"/>
    </row>
    <row r="53" spans="2:21" outlineLevel="1" x14ac:dyDescent="0.35">
      <c r="B53" s="17" t="s">
        <v>40</v>
      </c>
      <c r="C53" s="58"/>
      <c r="D53" s="89"/>
      <c r="E53" s="90"/>
      <c r="F53" s="90"/>
      <c r="G53" s="90"/>
      <c r="H53" s="91"/>
      <c r="I53" s="65"/>
      <c r="J53" s="3"/>
      <c r="K53" s="3"/>
      <c r="L53" s="3"/>
      <c r="M53" s="3"/>
      <c r="N53" s="3"/>
      <c r="O53" s="3"/>
      <c r="P53" s="3"/>
      <c r="Q53" s="16"/>
      <c r="S53" s="17" t="s">
        <v>40</v>
      </c>
      <c r="T53" s="97" t="s">
        <v>92</v>
      </c>
      <c r="U53" s="97"/>
    </row>
    <row r="54" spans="2:21" outlineLevel="1" x14ac:dyDescent="0.35">
      <c r="B54" s="17" t="s">
        <v>11</v>
      </c>
      <c r="C54" s="58"/>
      <c r="D54" s="89">
        <v>1200</v>
      </c>
      <c r="E54" s="90">
        <v>1200</v>
      </c>
      <c r="F54" s="90">
        <v>1200</v>
      </c>
      <c r="G54" s="90">
        <v>1200</v>
      </c>
      <c r="H54" s="91">
        <v>1200</v>
      </c>
      <c r="I54" s="65"/>
      <c r="J54" s="3"/>
      <c r="K54" s="3"/>
      <c r="L54" s="3"/>
      <c r="M54" s="3"/>
      <c r="N54" s="3"/>
      <c r="O54" s="3"/>
      <c r="P54" s="3"/>
      <c r="Q54" s="16"/>
      <c r="S54" s="17" t="s">
        <v>11</v>
      </c>
      <c r="T54" s="97" t="s">
        <v>92</v>
      </c>
      <c r="U54" s="97"/>
    </row>
    <row r="55" spans="2:21" x14ac:dyDescent="0.35">
      <c r="B55" s="41" t="s">
        <v>53</v>
      </c>
      <c r="C55" s="58"/>
      <c r="D55" s="76">
        <f>SUM(D33:D54)</f>
        <v>8800</v>
      </c>
      <c r="E55" s="3">
        <f t="shared" ref="E55:Q55" si="6">SUM(E33:E54)</f>
        <v>6300</v>
      </c>
      <c r="F55" s="3">
        <f t="shared" si="6"/>
        <v>8500</v>
      </c>
      <c r="G55" s="3">
        <f t="shared" si="6"/>
        <v>9200</v>
      </c>
      <c r="H55" s="16">
        <f t="shared" si="6"/>
        <v>9200</v>
      </c>
      <c r="I55" s="65">
        <f t="shared" si="6"/>
        <v>0</v>
      </c>
      <c r="J55" s="3">
        <f t="shared" si="6"/>
        <v>0</v>
      </c>
      <c r="K55" s="3">
        <f t="shared" si="6"/>
        <v>0</v>
      </c>
      <c r="L55" s="3">
        <f t="shared" si="6"/>
        <v>0</v>
      </c>
      <c r="M55" s="3">
        <f t="shared" si="6"/>
        <v>0</v>
      </c>
      <c r="N55" s="3">
        <f t="shared" si="6"/>
        <v>0</v>
      </c>
      <c r="O55" s="3">
        <f t="shared" si="6"/>
        <v>0</v>
      </c>
      <c r="P55" s="3">
        <f t="shared" si="6"/>
        <v>0</v>
      </c>
      <c r="Q55" s="16">
        <f t="shared" si="6"/>
        <v>0</v>
      </c>
    </row>
    <row r="56" spans="2:21" x14ac:dyDescent="0.35">
      <c r="B56" s="41" t="s">
        <v>54</v>
      </c>
      <c r="C56" s="58"/>
      <c r="D56" s="76">
        <f>SUM(D55,D30)</f>
        <v>8800</v>
      </c>
      <c r="E56" s="3">
        <f t="shared" ref="E56:Q56" si="7">SUM(E55,E30)</f>
        <v>6300</v>
      </c>
      <c r="F56" s="3">
        <f t="shared" si="7"/>
        <v>8500</v>
      </c>
      <c r="G56" s="3">
        <f t="shared" si="7"/>
        <v>9200</v>
      </c>
      <c r="H56" s="16">
        <f t="shared" si="7"/>
        <v>9200</v>
      </c>
      <c r="I56" s="65">
        <f t="shared" si="7"/>
        <v>0</v>
      </c>
      <c r="J56" s="3">
        <f t="shared" si="7"/>
        <v>0</v>
      </c>
      <c r="K56" s="3">
        <f t="shared" si="7"/>
        <v>0</v>
      </c>
      <c r="L56" s="3">
        <f t="shared" si="7"/>
        <v>0</v>
      </c>
      <c r="M56" s="3">
        <f t="shared" si="7"/>
        <v>0</v>
      </c>
      <c r="N56" s="3">
        <f t="shared" si="7"/>
        <v>0</v>
      </c>
      <c r="O56" s="3">
        <f t="shared" si="7"/>
        <v>0</v>
      </c>
      <c r="P56" s="3">
        <f t="shared" si="7"/>
        <v>0</v>
      </c>
      <c r="Q56" s="16">
        <f t="shared" si="7"/>
        <v>0</v>
      </c>
    </row>
    <row r="57" spans="2:21" ht="6" customHeight="1" x14ac:dyDescent="0.35">
      <c r="B57" s="22"/>
      <c r="C57" s="10"/>
      <c r="D57" s="79"/>
      <c r="E57" s="10"/>
      <c r="F57" s="10"/>
      <c r="G57" s="10"/>
      <c r="H57" s="23"/>
      <c r="I57" s="10"/>
      <c r="J57" s="10"/>
      <c r="K57" s="10"/>
      <c r="L57" s="10"/>
      <c r="M57" s="10"/>
      <c r="N57" s="10"/>
      <c r="O57" s="10"/>
      <c r="P57" s="10"/>
      <c r="Q57" s="23"/>
    </row>
    <row r="58" spans="2:21" x14ac:dyDescent="0.35">
      <c r="B58" s="40" t="s">
        <v>41</v>
      </c>
      <c r="C58" s="60"/>
      <c r="D58" s="80">
        <f t="shared" ref="D58:Q58" si="8">D21-D56</f>
        <v>4700</v>
      </c>
      <c r="E58" s="2">
        <f t="shared" si="8"/>
        <v>13500</v>
      </c>
      <c r="F58" s="2">
        <f t="shared" si="8"/>
        <v>27100</v>
      </c>
      <c r="G58" s="2">
        <f t="shared" si="8"/>
        <v>28400</v>
      </c>
      <c r="H58" s="20">
        <f t="shared" si="8"/>
        <v>36300</v>
      </c>
      <c r="I58" s="68">
        <f t="shared" si="8"/>
        <v>14600</v>
      </c>
      <c r="J58" s="2">
        <f t="shared" si="8"/>
        <v>14600</v>
      </c>
      <c r="K58" s="2">
        <f t="shared" si="8"/>
        <v>14600</v>
      </c>
      <c r="L58" s="2">
        <f t="shared" si="8"/>
        <v>14600</v>
      </c>
      <c r="M58" s="2">
        <f t="shared" si="8"/>
        <v>14600</v>
      </c>
      <c r="N58" s="2">
        <f t="shared" si="8"/>
        <v>14600</v>
      </c>
      <c r="O58" s="2">
        <f t="shared" si="8"/>
        <v>14600</v>
      </c>
      <c r="P58" s="2">
        <f t="shared" si="8"/>
        <v>14600</v>
      </c>
      <c r="Q58" s="20">
        <f t="shared" si="8"/>
        <v>14600</v>
      </c>
    </row>
    <row r="59" spans="2:21" x14ac:dyDescent="0.35">
      <c r="B59" s="41" t="s">
        <v>42</v>
      </c>
      <c r="C59" s="61"/>
      <c r="D59" s="81">
        <f t="shared" ref="D59:Q59" si="9">D58/D9</f>
        <v>0.30921052631578949</v>
      </c>
      <c r="E59" s="31">
        <f t="shared" si="9"/>
        <v>0.62790697674418605</v>
      </c>
      <c r="F59" s="31">
        <f t="shared" si="9"/>
        <v>0.72459893048128343</v>
      </c>
      <c r="G59" s="31">
        <f t="shared" si="9"/>
        <v>0.7208121827411168</v>
      </c>
      <c r="H59" s="32">
        <f t="shared" si="9"/>
        <v>0.76582278481012656</v>
      </c>
      <c r="I59" s="69">
        <f t="shared" si="9"/>
        <v>0.60833333333333328</v>
      </c>
      <c r="J59" s="31">
        <f t="shared" si="9"/>
        <v>0.60833333333333328</v>
      </c>
      <c r="K59" s="31">
        <f t="shared" si="9"/>
        <v>0.60833333333333328</v>
      </c>
      <c r="L59" s="31">
        <f t="shared" si="9"/>
        <v>0.60833333333333328</v>
      </c>
      <c r="M59" s="31">
        <f t="shared" si="9"/>
        <v>0.60833333333333328</v>
      </c>
      <c r="N59" s="31">
        <f t="shared" si="9"/>
        <v>0.60833333333333328</v>
      </c>
      <c r="O59" s="31">
        <f t="shared" si="9"/>
        <v>0.60833333333333328</v>
      </c>
      <c r="P59" s="31">
        <f t="shared" si="9"/>
        <v>0.60833333333333328</v>
      </c>
      <c r="Q59" s="32">
        <f t="shared" si="9"/>
        <v>0.60833333333333328</v>
      </c>
    </row>
    <row r="60" spans="2:21" ht="6" customHeight="1" x14ac:dyDescent="0.35">
      <c r="B60" s="22"/>
      <c r="C60" s="10"/>
      <c r="D60" s="79"/>
      <c r="E60" s="10"/>
      <c r="F60" s="10"/>
      <c r="G60" s="10"/>
      <c r="H60" s="23"/>
      <c r="I60" s="10"/>
      <c r="J60" s="10"/>
      <c r="K60" s="10"/>
      <c r="L60" s="10"/>
      <c r="M60" s="10"/>
      <c r="N60" s="10"/>
      <c r="O60" s="10"/>
      <c r="P60" s="10"/>
      <c r="Q60" s="23"/>
    </row>
    <row r="61" spans="2:21" x14ac:dyDescent="0.35">
      <c r="B61" s="41" t="s">
        <v>43</v>
      </c>
      <c r="C61" s="58"/>
      <c r="D61" s="76">
        <f>D80</f>
        <v>1666.6666666666667</v>
      </c>
      <c r="E61" s="3">
        <f t="shared" ref="E61:H61" si="10">E80</f>
        <v>2000</v>
      </c>
      <c r="F61" s="3">
        <f t="shared" si="10"/>
        <v>2333.3333333333335</v>
      </c>
      <c r="G61" s="3">
        <f t="shared" si="10"/>
        <v>1333.3333333333333</v>
      </c>
      <c r="H61" s="16">
        <f t="shared" si="10"/>
        <v>1333.3333333333333</v>
      </c>
      <c r="I61" s="65">
        <f t="shared" ref="I61:Q61" si="11">$D$80</f>
        <v>1666.6666666666667</v>
      </c>
      <c r="J61" s="3">
        <f t="shared" si="11"/>
        <v>1666.6666666666667</v>
      </c>
      <c r="K61" s="3">
        <f t="shared" si="11"/>
        <v>1666.6666666666667</v>
      </c>
      <c r="L61" s="3">
        <f t="shared" si="11"/>
        <v>1666.6666666666667</v>
      </c>
      <c r="M61" s="3">
        <f t="shared" si="11"/>
        <v>1666.6666666666667</v>
      </c>
      <c r="N61" s="3">
        <f t="shared" si="11"/>
        <v>1666.6666666666667</v>
      </c>
      <c r="O61" s="3">
        <f t="shared" si="11"/>
        <v>1666.6666666666667</v>
      </c>
      <c r="P61" s="3">
        <f t="shared" si="11"/>
        <v>1666.6666666666667</v>
      </c>
      <c r="Q61" s="16">
        <f t="shared" si="11"/>
        <v>1666.6666666666667</v>
      </c>
    </row>
    <row r="62" spans="2:21" x14ac:dyDescent="0.35">
      <c r="B62" s="41" t="s">
        <v>44</v>
      </c>
      <c r="C62" s="58"/>
      <c r="D62" s="76"/>
      <c r="E62" s="3"/>
      <c r="F62" s="3"/>
      <c r="G62" s="3"/>
      <c r="H62" s="16"/>
      <c r="I62" s="65"/>
      <c r="J62" s="3"/>
      <c r="K62" s="3"/>
      <c r="L62" s="3"/>
      <c r="M62" s="3"/>
      <c r="N62" s="3"/>
      <c r="O62" s="3"/>
      <c r="P62" s="3"/>
      <c r="Q62" s="16"/>
    </row>
    <row r="63" spans="2:21" ht="6" customHeight="1" x14ac:dyDescent="0.35">
      <c r="B63" s="22"/>
      <c r="C63" s="10"/>
      <c r="D63" s="79"/>
      <c r="E63" s="10"/>
      <c r="F63" s="10"/>
      <c r="G63" s="10"/>
      <c r="H63" s="23"/>
      <c r="I63" s="10"/>
      <c r="J63" s="10"/>
      <c r="K63" s="10"/>
      <c r="L63" s="10"/>
      <c r="M63" s="10"/>
      <c r="N63" s="10"/>
      <c r="O63" s="10"/>
      <c r="P63" s="10"/>
      <c r="Q63" s="23"/>
    </row>
    <row r="64" spans="2:21" x14ac:dyDescent="0.35">
      <c r="B64" s="42" t="s">
        <v>45</v>
      </c>
      <c r="C64" s="60"/>
      <c r="D64" s="82">
        <f>D58-D61</f>
        <v>3033.333333333333</v>
      </c>
      <c r="E64" s="6">
        <f t="shared" ref="E64:Q64" si="12">E58-E61</f>
        <v>11500</v>
      </c>
      <c r="F64" s="6">
        <f t="shared" si="12"/>
        <v>24766.666666666668</v>
      </c>
      <c r="G64" s="6">
        <f t="shared" si="12"/>
        <v>27066.666666666668</v>
      </c>
      <c r="H64" s="24">
        <f t="shared" si="12"/>
        <v>34966.666666666664</v>
      </c>
      <c r="I64" s="70">
        <f t="shared" si="12"/>
        <v>12933.333333333334</v>
      </c>
      <c r="J64" s="6">
        <f t="shared" si="12"/>
        <v>12933.333333333334</v>
      </c>
      <c r="K64" s="6">
        <f t="shared" si="12"/>
        <v>12933.333333333334</v>
      </c>
      <c r="L64" s="6">
        <f t="shared" si="12"/>
        <v>12933.333333333334</v>
      </c>
      <c r="M64" s="6">
        <f t="shared" si="12"/>
        <v>12933.333333333334</v>
      </c>
      <c r="N64" s="6">
        <f t="shared" si="12"/>
        <v>12933.333333333334</v>
      </c>
      <c r="O64" s="6">
        <f t="shared" si="12"/>
        <v>12933.333333333334</v>
      </c>
      <c r="P64" s="6">
        <f t="shared" si="12"/>
        <v>12933.333333333334</v>
      </c>
      <c r="Q64" s="24">
        <f t="shared" si="12"/>
        <v>12933.333333333334</v>
      </c>
    </row>
    <row r="65" spans="2:21" x14ac:dyDescent="0.35">
      <c r="B65" s="41" t="s">
        <v>55</v>
      </c>
      <c r="C65" s="60"/>
      <c r="D65" s="83">
        <f t="shared" ref="D65:Q65" si="13">IFERROR(D64/D$9,"NA")</f>
        <v>0.19956140350877191</v>
      </c>
      <c r="E65" s="33">
        <f t="shared" si="13"/>
        <v>0.53488372093023251</v>
      </c>
      <c r="F65" s="33">
        <f t="shared" si="13"/>
        <v>0.66221033868092694</v>
      </c>
      <c r="G65" s="33">
        <f t="shared" si="13"/>
        <v>0.68697123519458547</v>
      </c>
      <c r="H65" s="34">
        <f t="shared" si="13"/>
        <v>0.73769338959212372</v>
      </c>
      <c r="I65" s="71">
        <f t="shared" si="13"/>
        <v>0.53888888888888886</v>
      </c>
      <c r="J65" s="33">
        <f t="shared" si="13"/>
        <v>0.53888888888888886</v>
      </c>
      <c r="K65" s="33">
        <f t="shared" si="13"/>
        <v>0.53888888888888886</v>
      </c>
      <c r="L65" s="33">
        <f t="shared" si="13"/>
        <v>0.53888888888888886</v>
      </c>
      <c r="M65" s="33">
        <f t="shared" si="13"/>
        <v>0.53888888888888886</v>
      </c>
      <c r="N65" s="33">
        <f t="shared" si="13"/>
        <v>0.53888888888888886</v>
      </c>
      <c r="O65" s="33">
        <f t="shared" si="13"/>
        <v>0.53888888888888886</v>
      </c>
      <c r="P65" s="33">
        <f t="shared" si="13"/>
        <v>0.53888888888888886</v>
      </c>
      <c r="Q65" s="34">
        <f t="shared" si="13"/>
        <v>0.53888888888888886</v>
      </c>
    </row>
    <row r="66" spans="2:21" x14ac:dyDescent="0.35">
      <c r="B66" s="25" t="s">
        <v>100</v>
      </c>
      <c r="C66" s="60"/>
      <c r="D66" s="84">
        <f>IF(D64&gt;0,IF(D9&lt;100000,D64*3%,D64*15%),0)</f>
        <v>90.999999999999986</v>
      </c>
      <c r="E66" s="5">
        <f t="shared" ref="E66:H66" si="14">IF(E64&gt;0,IF(E9&lt;100000,E64*3%,E64*15%),0)</f>
        <v>345</v>
      </c>
      <c r="F66" s="5">
        <f t="shared" si="14"/>
        <v>743</v>
      </c>
      <c r="G66" s="5">
        <f t="shared" si="14"/>
        <v>812</v>
      </c>
      <c r="H66" s="26">
        <f t="shared" si="14"/>
        <v>1049</v>
      </c>
      <c r="I66" s="72">
        <f t="shared" ref="I66:Q66" si="15">I64*15%</f>
        <v>1940</v>
      </c>
      <c r="J66" s="5">
        <f t="shared" si="15"/>
        <v>1940</v>
      </c>
      <c r="K66" s="5">
        <f t="shared" si="15"/>
        <v>1940</v>
      </c>
      <c r="L66" s="5">
        <f t="shared" si="15"/>
        <v>1940</v>
      </c>
      <c r="M66" s="5">
        <f t="shared" si="15"/>
        <v>1940</v>
      </c>
      <c r="N66" s="5">
        <f t="shared" si="15"/>
        <v>1940</v>
      </c>
      <c r="O66" s="5">
        <f t="shared" si="15"/>
        <v>1940</v>
      </c>
      <c r="P66" s="5">
        <f t="shared" si="15"/>
        <v>1940</v>
      </c>
      <c r="Q66" s="26">
        <f t="shared" si="15"/>
        <v>1940</v>
      </c>
    </row>
    <row r="67" spans="2:21" ht="15.5" x14ac:dyDescent="0.35">
      <c r="B67" s="15" t="s">
        <v>134</v>
      </c>
      <c r="C67" s="58"/>
      <c r="D67" s="110">
        <f>D64-D66</f>
        <v>2942.333333333333</v>
      </c>
      <c r="E67" s="111">
        <f t="shared" ref="E67:Q67" si="16">E64-E66</f>
        <v>11155</v>
      </c>
      <c r="F67" s="111">
        <f t="shared" si="16"/>
        <v>24023.666666666668</v>
      </c>
      <c r="G67" s="111">
        <f t="shared" si="16"/>
        <v>26254.666666666668</v>
      </c>
      <c r="H67" s="112">
        <f t="shared" si="16"/>
        <v>33917.666666666664</v>
      </c>
      <c r="I67" s="65">
        <f t="shared" si="16"/>
        <v>10993.333333333334</v>
      </c>
      <c r="J67" s="3">
        <f t="shared" si="16"/>
        <v>10993.333333333334</v>
      </c>
      <c r="K67" s="3">
        <f t="shared" si="16"/>
        <v>10993.333333333334</v>
      </c>
      <c r="L67" s="3">
        <f t="shared" si="16"/>
        <v>10993.333333333334</v>
      </c>
      <c r="M67" s="3">
        <f t="shared" si="16"/>
        <v>10993.333333333334</v>
      </c>
      <c r="N67" s="3">
        <f t="shared" si="16"/>
        <v>10993.333333333334</v>
      </c>
      <c r="O67" s="3">
        <f t="shared" si="16"/>
        <v>10993.333333333334</v>
      </c>
      <c r="P67" s="3">
        <f t="shared" si="16"/>
        <v>10993.333333333334</v>
      </c>
      <c r="Q67" s="16">
        <f t="shared" si="16"/>
        <v>10993.333333333334</v>
      </c>
    </row>
    <row r="68" spans="2:21" x14ac:dyDescent="0.35">
      <c r="B68" s="43" t="s">
        <v>67</v>
      </c>
      <c r="C68" s="62"/>
      <c r="D68" s="85">
        <f t="shared" ref="D68:Q68" si="17">D67/D9</f>
        <v>0.19357456140350876</v>
      </c>
      <c r="E68" s="11">
        <f t="shared" si="17"/>
        <v>0.51883720930232557</v>
      </c>
      <c r="F68" s="11">
        <f t="shared" si="17"/>
        <v>0.6423440285204991</v>
      </c>
      <c r="G68" s="11">
        <f t="shared" si="17"/>
        <v>0.66636209813874792</v>
      </c>
      <c r="H68" s="27">
        <f t="shared" si="17"/>
        <v>0.71556258790436</v>
      </c>
      <c r="I68" s="73">
        <f t="shared" si="17"/>
        <v>0.4580555555555556</v>
      </c>
      <c r="J68" s="11">
        <f t="shared" si="17"/>
        <v>0.4580555555555556</v>
      </c>
      <c r="K68" s="11">
        <f t="shared" si="17"/>
        <v>0.4580555555555556</v>
      </c>
      <c r="L68" s="11">
        <f t="shared" si="17"/>
        <v>0.4580555555555556</v>
      </c>
      <c r="M68" s="11">
        <f t="shared" si="17"/>
        <v>0.4580555555555556</v>
      </c>
      <c r="N68" s="11">
        <f t="shared" si="17"/>
        <v>0.4580555555555556</v>
      </c>
      <c r="O68" s="11">
        <f t="shared" si="17"/>
        <v>0.4580555555555556</v>
      </c>
      <c r="P68" s="11">
        <f t="shared" si="17"/>
        <v>0.4580555555555556</v>
      </c>
      <c r="Q68" s="27">
        <f t="shared" si="17"/>
        <v>0.4580555555555556</v>
      </c>
    </row>
    <row r="69" spans="2:21" ht="15.5" x14ac:dyDescent="0.35">
      <c r="B69" s="19" t="s">
        <v>46</v>
      </c>
      <c r="C69" s="63"/>
      <c r="D69" s="86">
        <f>D67</f>
        <v>2942.333333333333</v>
      </c>
      <c r="E69" s="35">
        <f t="shared" ref="E69:Q69" si="18">D69+E67</f>
        <v>14097.333333333332</v>
      </c>
      <c r="F69" s="35">
        <f t="shared" si="18"/>
        <v>38121</v>
      </c>
      <c r="G69" s="35">
        <f t="shared" si="18"/>
        <v>64375.666666666672</v>
      </c>
      <c r="H69" s="37">
        <f t="shared" si="18"/>
        <v>98293.333333333343</v>
      </c>
      <c r="I69" s="74">
        <f t="shared" si="18"/>
        <v>109286.66666666667</v>
      </c>
      <c r="J69" s="36">
        <f t="shared" si="18"/>
        <v>120280</v>
      </c>
      <c r="K69" s="36">
        <f t="shared" si="18"/>
        <v>131273.33333333334</v>
      </c>
      <c r="L69" s="36">
        <f t="shared" si="18"/>
        <v>142266.66666666669</v>
      </c>
      <c r="M69" s="36">
        <f t="shared" si="18"/>
        <v>153260.00000000003</v>
      </c>
      <c r="N69" s="36">
        <f t="shared" si="18"/>
        <v>164253.33333333337</v>
      </c>
      <c r="O69" s="36">
        <f t="shared" si="18"/>
        <v>175246.66666666672</v>
      </c>
      <c r="P69" s="36">
        <f t="shared" si="18"/>
        <v>186240.00000000006</v>
      </c>
      <c r="Q69" s="37">
        <f t="shared" si="18"/>
        <v>197233.3333333334</v>
      </c>
    </row>
    <row r="70" spans="2:21" ht="6" customHeight="1" thickBot="1" x14ac:dyDescent="0.4">
      <c r="B70" s="28"/>
      <c r="C70" s="29"/>
      <c r="D70" s="87"/>
      <c r="E70" s="29"/>
      <c r="F70" s="29"/>
      <c r="G70" s="29"/>
      <c r="H70" s="30"/>
      <c r="I70" s="29"/>
      <c r="J70" s="29"/>
      <c r="K70" s="29"/>
      <c r="L70" s="29"/>
      <c r="M70" s="29"/>
      <c r="N70" s="29"/>
      <c r="O70" s="29"/>
      <c r="P70" s="29"/>
      <c r="Q70" s="30"/>
    </row>
    <row r="73" spans="2:21" x14ac:dyDescent="0.35">
      <c r="B73" s="4" t="s">
        <v>66</v>
      </c>
      <c r="D73">
        <v>1</v>
      </c>
      <c r="E73">
        <v>2</v>
      </c>
      <c r="F73">
        <v>3</v>
      </c>
      <c r="G73">
        <v>4</v>
      </c>
      <c r="H73">
        <v>5</v>
      </c>
    </row>
    <row r="74" spans="2:21" outlineLevel="1" x14ac:dyDescent="0.35">
      <c r="B74" s="4" t="s">
        <v>59</v>
      </c>
      <c r="C74" s="3"/>
      <c r="D74" s="90">
        <v>5000</v>
      </c>
      <c r="E74" s="3">
        <v>1000</v>
      </c>
      <c r="F74" s="3">
        <v>1000</v>
      </c>
      <c r="G74" s="3">
        <v>2000</v>
      </c>
      <c r="H74" s="3">
        <v>1000</v>
      </c>
      <c r="I74" s="3"/>
      <c r="J74" s="3"/>
      <c r="K74" s="3"/>
      <c r="L74" s="3"/>
      <c r="M74" s="3"/>
      <c r="N74" s="3"/>
      <c r="O74" s="3"/>
      <c r="P74" s="3"/>
      <c r="Q74" s="3"/>
      <c r="S74" s="17" t="s">
        <v>82</v>
      </c>
      <c r="T74" s="97" t="s">
        <v>92</v>
      </c>
      <c r="U74" s="108" t="s">
        <v>123</v>
      </c>
    </row>
    <row r="75" spans="2:21" outlineLevel="1" x14ac:dyDescent="0.35">
      <c r="B75" s="9" t="s">
        <v>56</v>
      </c>
      <c r="C75" s="90">
        <v>3</v>
      </c>
      <c r="D75" s="3">
        <f>D74/$C$75</f>
        <v>1666.6666666666667</v>
      </c>
      <c r="E75" s="3">
        <f>D74/$C$75+E74/$C$75</f>
        <v>2000</v>
      </c>
      <c r="F75" s="3">
        <f>D74/$C$75+E74/$C$75+F74/$C$75</f>
        <v>2333.3333333333335</v>
      </c>
      <c r="G75" s="3">
        <f>E74/$C$75+F74/$C$75+G74/$C$75</f>
        <v>1333.3333333333333</v>
      </c>
      <c r="H75" s="3">
        <f>F74/$C$75+G74/$C$75+H74/$C$75</f>
        <v>1333.3333333333333</v>
      </c>
      <c r="I75" s="3">
        <f t="shared" ref="I75:K75" si="19">G74/$C$75+H74/$C$75+I74/$C$75</f>
        <v>1000</v>
      </c>
      <c r="J75" s="3">
        <f t="shared" si="19"/>
        <v>333.33333333333331</v>
      </c>
      <c r="K75" s="3">
        <f t="shared" si="19"/>
        <v>0</v>
      </c>
      <c r="L75" s="3"/>
      <c r="M75" s="3"/>
      <c r="N75" s="3"/>
      <c r="O75" s="3"/>
      <c r="P75" s="3"/>
      <c r="Q75" s="3"/>
      <c r="R75" s="3"/>
    </row>
    <row r="76" spans="2:21" outlineLevel="1" x14ac:dyDescent="0.35">
      <c r="B76" s="4" t="s">
        <v>60</v>
      </c>
      <c r="C76" s="1"/>
      <c r="D76" s="104"/>
      <c r="E76" s="1"/>
      <c r="F76" s="1"/>
      <c r="G76" s="1"/>
      <c r="H76" s="1"/>
      <c r="I76" s="1"/>
      <c r="J76" s="1"/>
      <c r="K76" s="1"/>
      <c r="L76" s="1"/>
      <c r="M76" s="1"/>
      <c r="N76" s="1"/>
      <c r="O76" s="1"/>
      <c r="P76" s="1"/>
      <c r="Q76" s="1"/>
    </row>
    <row r="77" spans="2:21" outlineLevel="1" x14ac:dyDescent="0.35">
      <c r="B77" s="9" t="s">
        <v>56</v>
      </c>
      <c r="C77" s="104">
        <v>3</v>
      </c>
      <c r="D77" s="1"/>
      <c r="E77" s="1"/>
      <c r="F77" s="1"/>
      <c r="G77" s="1"/>
      <c r="H77" s="1"/>
      <c r="I77" s="1"/>
      <c r="J77" s="1"/>
      <c r="K77" s="1"/>
      <c r="L77" s="1"/>
      <c r="M77" s="1"/>
      <c r="N77" s="1"/>
      <c r="O77" s="1"/>
      <c r="P77" s="1"/>
      <c r="Q77" s="1"/>
    </row>
    <row r="78" spans="2:21" outlineLevel="1" x14ac:dyDescent="0.35">
      <c r="B78" s="4" t="s">
        <v>61</v>
      </c>
      <c r="C78" s="1"/>
      <c r="D78" s="104"/>
      <c r="E78" s="1"/>
      <c r="F78" s="1"/>
      <c r="G78" s="1"/>
      <c r="H78" s="1"/>
      <c r="I78" s="1"/>
      <c r="J78" s="1"/>
      <c r="K78" s="1"/>
      <c r="L78" s="1"/>
      <c r="M78" s="1"/>
      <c r="N78" s="1"/>
      <c r="O78" s="1"/>
      <c r="P78" s="1"/>
      <c r="Q78" s="1"/>
    </row>
    <row r="79" spans="2:21" outlineLevel="1" x14ac:dyDescent="0.35">
      <c r="B79" s="9" t="s">
        <v>56</v>
      </c>
      <c r="C79" s="104">
        <v>3</v>
      </c>
      <c r="D79" s="1"/>
      <c r="E79" s="1"/>
      <c r="F79" s="1"/>
      <c r="G79" s="1"/>
      <c r="H79" s="1"/>
      <c r="I79" s="1"/>
      <c r="J79" s="1"/>
      <c r="K79" s="1"/>
      <c r="L79" s="1"/>
      <c r="M79" s="1"/>
      <c r="N79" s="1"/>
      <c r="O79" s="1"/>
      <c r="P79" s="1"/>
      <c r="Q79" s="1"/>
    </row>
    <row r="80" spans="2:21" x14ac:dyDescent="0.35">
      <c r="B80" s="4" t="s">
        <v>62</v>
      </c>
      <c r="C80" s="1"/>
      <c r="D80" s="105">
        <f>(D74/$C$75)+(D76/$C$77)+(D78/$C$79)</f>
        <v>1666.6666666666667</v>
      </c>
      <c r="E80" s="105">
        <f>(E74/$C$75)+(E76/$C$77)+(E78/$C$79)+IF((E$73-D$73)&lt;$C75,$D$74/$C$75)</f>
        <v>2000</v>
      </c>
      <c r="F80" s="105">
        <f>(F74/$C$75)+(F76/$C$77)+(F78/$C$79)+IF((F$73-$D$73)&lt;$C75,$D$74/$C$75)+IF((F$73-$E$73)&lt;$C77,$E$74/$C$77)</f>
        <v>2333.3333333333335</v>
      </c>
      <c r="G80" s="105">
        <f>(G74/$C$75)+(G76/$C$77)+(G78/$C$79)+IF((G$73-$D$73)&lt;$C75,$D$74/$C$75)+IF((G$73-$E$73)&lt;$C75,$E$74/$C$75)+IF((G$73-$F$73)&lt;$C75,$F$74/$C$75)</f>
        <v>1333.3333333333333</v>
      </c>
      <c r="H80" s="105">
        <f>(H74/$C$75)+(H76/$C$77)+(H78/$C$79)+IF((H$73-$D$73)&lt;$C75,$D$74/$C$75)+IF((H$73-$E$73)&lt;$C75,$E$74/$C$75)+IF((H$73-$F$73)&lt;$C75,$F$74/$C$75)+IF((H$73-$G$73)&lt;$C75,$G$74/$C$75)</f>
        <v>1333.3333333333333</v>
      </c>
      <c r="I80" s="1"/>
      <c r="J80" s="1"/>
      <c r="K80" s="1"/>
      <c r="L80" s="1"/>
      <c r="M80" s="1"/>
      <c r="N80" s="1"/>
      <c r="O80" s="1"/>
      <c r="P80" s="1"/>
      <c r="Q80" s="1"/>
    </row>
    <row r="82" spans="2:2" x14ac:dyDescent="0.35">
      <c r="B82" s="8" t="s">
        <v>65</v>
      </c>
    </row>
  </sheetData>
  <dataConsolidate/>
  <mergeCells count="7">
    <mergeCell ref="C3:C4"/>
    <mergeCell ref="C7:C8"/>
    <mergeCell ref="C5:C6"/>
    <mergeCell ref="S5:S6"/>
    <mergeCell ref="T5:U6"/>
    <mergeCell ref="S7:S8"/>
    <mergeCell ref="T7:U8"/>
  </mergeCells>
  <conditionalFormatting sqref="D69:Q69">
    <cfRule type="cellIs" dxfId="1" priority="1" operator="greaterThanOrEqual">
      <formula>0</formula>
    </cfRule>
    <cfRule type="cellIs" dxfId="0" priority="2"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A728A-975B-4ADA-8B57-7FDFF4EDA6F4}">
  <sheetPr>
    <tabColor rgb="FFFFC000"/>
  </sheetPr>
  <dimension ref="B1:P23"/>
  <sheetViews>
    <sheetView tabSelected="1" topLeftCell="A2" workbookViewId="0">
      <selection activeCell="B10" sqref="B10"/>
    </sheetView>
  </sheetViews>
  <sheetFormatPr defaultRowHeight="14.5" x14ac:dyDescent="0.35"/>
  <cols>
    <col min="1" max="1" width="2" customWidth="1"/>
    <col min="2" max="2" width="30" bestFit="1" customWidth="1"/>
    <col min="3" max="6" width="11.26953125" customWidth="1"/>
    <col min="7" max="7" width="12.26953125" bestFit="1" customWidth="1"/>
    <col min="8" max="16" width="0" hidden="1" customWidth="1"/>
  </cols>
  <sheetData>
    <row r="1" spans="2:16" hidden="1" x14ac:dyDescent="0.35"/>
    <row r="2" spans="2:16" ht="7.5" customHeight="1" thickBot="1" x14ac:dyDescent="0.4"/>
    <row r="3" spans="2:16" ht="19" thickBot="1" x14ac:dyDescent="0.5">
      <c r="B3" s="54" t="s">
        <v>135</v>
      </c>
      <c r="C3" s="101" t="s">
        <v>1</v>
      </c>
      <c r="D3" s="102" t="s">
        <v>2</v>
      </c>
      <c r="E3" s="102" t="s">
        <v>3</v>
      </c>
      <c r="F3" s="102" t="s">
        <v>4</v>
      </c>
      <c r="G3" s="103" t="s">
        <v>5</v>
      </c>
      <c r="H3" s="64" t="s">
        <v>6</v>
      </c>
      <c r="I3" s="13" t="s">
        <v>7</v>
      </c>
      <c r="J3" s="13" t="s">
        <v>8</v>
      </c>
      <c r="K3" s="13" t="s">
        <v>9</v>
      </c>
      <c r="L3" s="13" t="s">
        <v>10</v>
      </c>
      <c r="M3" s="13" t="s">
        <v>47</v>
      </c>
      <c r="N3" s="13" t="s">
        <v>48</v>
      </c>
      <c r="O3" s="13" t="s">
        <v>49</v>
      </c>
      <c r="P3" s="14" t="s">
        <v>50</v>
      </c>
    </row>
    <row r="4" spans="2:16" ht="18.5" x14ac:dyDescent="0.45">
      <c r="B4" s="118" t="s">
        <v>69</v>
      </c>
      <c r="C4" s="119"/>
      <c r="D4" s="119"/>
      <c r="E4" s="119"/>
      <c r="F4" s="119"/>
      <c r="G4" s="119"/>
      <c r="H4" s="45"/>
      <c r="I4" s="45"/>
      <c r="J4" s="45"/>
      <c r="K4" s="45"/>
      <c r="L4" s="45"/>
      <c r="M4" s="45"/>
      <c r="N4" s="45"/>
      <c r="O4" s="45"/>
      <c r="P4" s="45"/>
    </row>
    <row r="5" spans="2:16" x14ac:dyDescent="0.35">
      <c r="B5" s="22" t="s">
        <v>90</v>
      </c>
      <c r="C5" s="123">
        <f>'Income Statement exp Summary'!D67</f>
        <v>4064.333333333333</v>
      </c>
      <c r="D5" s="123">
        <f>'Income Statement exp Summary'!E67</f>
        <v>39155.666666666664</v>
      </c>
      <c r="E5" s="123">
        <f>'Income Statement exp Summary'!F67</f>
        <v>74011</v>
      </c>
      <c r="F5" s="123">
        <f>'Income Statement exp Summary'!G67</f>
        <v>86782.666666666672</v>
      </c>
      <c r="G5" s="123">
        <f>'Income Statement exp Summary'!H67</f>
        <v>110935.66666666667</v>
      </c>
      <c r="H5" s="46" t="e">
        <f>'Income Statement exp Summary'!I67</f>
        <v>#REF!</v>
      </c>
      <c r="I5" s="46" t="e">
        <f>'Income Statement exp Summary'!J67</f>
        <v>#REF!</v>
      </c>
      <c r="J5" s="46" t="e">
        <f>'Income Statement exp Summary'!K67</f>
        <v>#REF!</v>
      </c>
      <c r="K5" s="46" t="e">
        <f>'Income Statement exp Summary'!L67</f>
        <v>#REF!</v>
      </c>
      <c r="L5" s="46" t="e">
        <f>'Income Statement exp Summary'!M67</f>
        <v>#REF!</v>
      </c>
      <c r="M5" s="46" t="e">
        <f>'Income Statement exp Summary'!N67</f>
        <v>#REF!</v>
      </c>
      <c r="N5" s="46" t="e">
        <f>'Income Statement exp Summary'!O67</f>
        <v>#REF!</v>
      </c>
      <c r="O5" s="46" t="e">
        <f>'Income Statement exp Summary'!P67</f>
        <v>#REF!</v>
      </c>
      <c r="P5" s="46" t="e">
        <f>'Income Statement exp Summary'!Q67</f>
        <v>#REF!</v>
      </c>
    </row>
    <row r="6" spans="2:16" x14ac:dyDescent="0.35">
      <c r="B6" s="47" t="s">
        <v>70</v>
      </c>
      <c r="C6" s="116">
        <f>SUM(C7:C8)</f>
        <v>3166.666666666667</v>
      </c>
      <c r="D6" s="116">
        <f t="shared" ref="D6:P6" si="0">SUM(D7:D8)</f>
        <v>4333.333333333333</v>
      </c>
      <c r="E6" s="116">
        <f t="shared" si="0"/>
        <v>5500</v>
      </c>
      <c r="F6" s="116">
        <f t="shared" si="0"/>
        <v>4333.333333333333</v>
      </c>
      <c r="G6" s="116">
        <f t="shared" si="0"/>
        <v>4333.333333333333</v>
      </c>
      <c r="H6" s="48" t="e">
        <f t="shared" si="0"/>
        <v>#REF!</v>
      </c>
      <c r="I6" s="48" t="e">
        <f t="shared" si="0"/>
        <v>#REF!</v>
      </c>
      <c r="J6" s="48" t="e">
        <f t="shared" si="0"/>
        <v>#REF!</v>
      </c>
      <c r="K6" s="48" t="e">
        <f t="shared" si="0"/>
        <v>#REF!</v>
      </c>
      <c r="L6" s="48" t="e">
        <f t="shared" si="0"/>
        <v>#REF!</v>
      </c>
      <c r="M6" s="48" t="e">
        <f t="shared" si="0"/>
        <v>#REF!</v>
      </c>
      <c r="N6" s="48" t="e">
        <f t="shared" si="0"/>
        <v>#REF!</v>
      </c>
      <c r="O6" s="48" t="e">
        <f t="shared" si="0"/>
        <v>#REF!</v>
      </c>
      <c r="P6" s="48" t="e">
        <f t="shared" si="0"/>
        <v>#REF!</v>
      </c>
    </row>
    <row r="7" spans="2:16" x14ac:dyDescent="0.35">
      <c r="B7" s="124" t="s">
        <v>43</v>
      </c>
      <c r="C7" s="125">
        <f>'Income Statement exp Summary'!D61</f>
        <v>3166.666666666667</v>
      </c>
      <c r="D7" s="125">
        <f>'Income Statement exp Summary'!E61</f>
        <v>4333.333333333333</v>
      </c>
      <c r="E7" s="125">
        <f>'Income Statement exp Summary'!F61</f>
        <v>5500</v>
      </c>
      <c r="F7" s="125">
        <f>'Income Statement exp Summary'!G61</f>
        <v>4333.333333333333</v>
      </c>
      <c r="G7" s="125">
        <f>'Income Statement exp Summary'!H61</f>
        <v>4333.333333333333</v>
      </c>
      <c r="H7" s="49" t="e">
        <f>'Income Statement exp Summary'!I61</f>
        <v>#REF!</v>
      </c>
      <c r="I7" s="49" t="e">
        <f>'Income Statement exp Summary'!J61</f>
        <v>#REF!</v>
      </c>
      <c r="J7" s="49" t="e">
        <f>'Income Statement exp Summary'!K61</f>
        <v>#REF!</v>
      </c>
      <c r="K7" s="49" t="e">
        <f>'Income Statement exp Summary'!L61</f>
        <v>#REF!</v>
      </c>
      <c r="L7" s="49" t="e">
        <f>'Income Statement exp Summary'!M61</f>
        <v>#REF!</v>
      </c>
      <c r="M7" s="49" t="e">
        <f>'Income Statement exp Summary'!N61</f>
        <v>#REF!</v>
      </c>
      <c r="N7" s="49" t="e">
        <f>'Income Statement exp Summary'!O61</f>
        <v>#REF!</v>
      </c>
      <c r="O7" s="49" t="e">
        <f>'Income Statement exp Summary'!P61</f>
        <v>#REF!</v>
      </c>
      <c r="P7" s="49" t="e">
        <f>'Income Statement exp Summary'!Q61</f>
        <v>#REF!</v>
      </c>
    </row>
    <row r="8" spans="2:16" x14ac:dyDescent="0.35">
      <c r="B8" s="124" t="s">
        <v>71</v>
      </c>
      <c r="C8" s="125"/>
      <c r="D8" s="125"/>
      <c r="E8" s="125"/>
      <c r="F8" s="125"/>
      <c r="G8" s="125"/>
      <c r="H8" s="49"/>
      <c r="I8" s="49"/>
      <c r="J8" s="49"/>
      <c r="K8" s="49"/>
      <c r="L8" s="49"/>
      <c r="M8" s="49"/>
      <c r="N8" s="49"/>
      <c r="O8" s="49"/>
      <c r="P8" s="49"/>
    </row>
    <row r="9" spans="2:16" x14ac:dyDescent="0.35">
      <c r="B9" s="47" t="s">
        <v>136</v>
      </c>
      <c r="C9" s="116">
        <f>SUM(C10:C11)</f>
        <v>0</v>
      </c>
      <c r="D9" s="116">
        <f t="shared" ref="D9:P9" si="1">SUM(D10:D11)</f>
        <v>0</v>
      </c>
      <c r="E9" s="116">
        <f t="shared" si="1"/>
        <v>0</v>
      </c>
      <c r="F9" s="116">
        <f t="shared" si="1"/>
        <v>0</v>
      </c>
      <c r="G9" s="116">
        <f t="shared" si="1"/>
        <v>0</v>
      </c>
      <c r="H9" s="48">
        <f t="shared" si="1"/>
        <v>0</v>
      </c>
      <c r="I9" s="48">
        <f t="shared" si="1"/>
        <v>0</v>
      </c>
      <c r="J9" s="48">
        <f t="shared" si="1"/>
        <v>0</v>
      </c>
      <c r="K9" s="48">
        <f t="shared" si="1"/>
        <v>0</v>
      </c>
      <c r="L9" s="48">
        <f t="shared" si="1"/>
        <v>0</v>
      </c>
      <c r="M9" s="48">
        <f t="shared" si="1"/>
        <v>0</v>
      </c>
      <c r="N9" s="48">
        <f t="shared" si="1"/>
        <v>0</v>
      </c>
      <c r="O9" s="48">
        <f t="shared" si="1"/>
        <v>0</v>
      </c>
      <c r="P9" s="48">
        <f t="shared" si="1"/>
        <v>0</v>
      </c>
    </row>
    <row r="10" spans="2:16" x14ac:dyDescent="0.35">
      <c r="B10" s="128" t="s">
        <v>72</v>
      </c>
      <c r="C10" s="129"/>
      <c r="D10" s="129"/>
      <c r="E10" s="129"/>
      <c r="F10" s="129"/>
      <c r="G10" s="129"/>
      <c r="H10" s="50"/>
      <c r="I10" s="50"/>
      <c r="J10" s="50"/>
      <c r="K10" s="50"/>
      <c r="L10" s="50"/>
      <c r="M10" s="50"/>
      <c r="N10" s="50"/>
      <c r="O10" s="50"/>
      <c r="P10" s="50"/>
    </row>
    <row r="11" spans="2:16" x14ac:dyDescent="0.35">
      <c r="B11" s="128" t="s">
        <v>73</v>
      </c>
      <c r="C11" s="129"/>
      <c r="D11" s="129"/>
      <c r="E11" s="129"/>
      <c r="F11" s="129"/>
      <c r="G11" s="129"/>
      <c r="H11" s="50"/>
      <c r="I11" s="50"/>
      <c r="J11" s="50"/>
      <c r="K11" s="50"/>
      <c r="L11" s="50"/>
      <c r="M11" s="50"/>
      <c r="N11" s="50"/>
      <c r="O11" s="50"/>
      <c r="P11" s="50"/>
    </row>
    <row r="12" spans="2:16" ht="16" thickBot="1" x14ac:dyDescent="0.4">
      <c r="B12" s="117" t="s">
        <v>74</v>
      </c>
      <c r="C12" s="120">
        <f>C5+C6-C9</f>
        <v>7231</v>
      </c>
      <c r="D12" s="120">
        <f t="shared" ref="D12:P12" si="2">D5+D6-D9</f>
        <v>43489</v>
      </c>
      <c r="E12" s="120">
        <f t="shared" si="2"/>
        <v>79511</v>
      </c>
      <c r="F12" s="120">
        <f t="shared" si="2"/>
        <v>91116</v>
      </c>
      <c r="G12" s="120">
        <f t="shared" si="2"/>
        <v>115269</v>
      </c>
      <c r="H12" s="51" t="e">
        <f t="shared" si="2"/>
        <v>#REF!</v>
      </c>
      <c r="I12" s="51" t="e">
        <f t="shared" si="2"/>
        <v>#REF!</v>
      </c>
      <c r="J12" s="51" t="e">
        <f t="shared" si="2"/>
        <v>#REF!</v>
      </c>
      <c r="K12" s="51" t="e">
        <f t="shared" si="2"/>
        <v>#REF!</v>
      </c>
      <c r="L12" s="51" t="e">
        <f t="shared" si="2"/>
        <v>#REF!</v>
      </c>
      <c r="M12" s="51" t="e">
        <f t="shared" si="2"/>
        <v>#REF!</v>
      </c>
      <c r="N12" s="51" t="e">
        <f t="shared" si="2"/>
        <v>#REF!</v>
      </c>
      <c r="O12" s="51" t="e">
        <f t="shared" si="2"/>
        <v>#REF!</v>
      </c>
      <c r="P12" s="51" t="e">
        <f t="shared" si="2"/>
        <v>#REF!</v>
      </c>
    </row>
    <row r="13" spans="2:16" ht="18.5" x14ac:dyDescent="0.45">
      <c r="B13" s="118" t="s">
        <v>75</v>
      </c>
      <c r="C13" s="121">
        <f>C14</f>
        <v>9500</v>
      </c>
      <c r="D13" s="121">
        <f t="shared" ref="D13:P13" si="3">D14</f>
        <v>3500</v>
      </c>
      <c r="E13" s="121">
        <f t="shared" si="3"/>
        <v>3500</v>
      </c>
      <c r="F13" s="121">
        <f t="shared" si="3"/>
        <v>6000</v>
      </c>
      <c r="G13" s="121">
        <f t="shared" si="3"/>
        <v>3500</v>
      </c>
      <c r="H13" s="45">
        <f t="shared" si="3"/>
        <v>0</v>
      </c>
      <c r="I13" s="45">
        <f t="shared" si="3"/>
        <v>0</v>
      </c>
      <c r="J13" s="45">
        <f t="shared" si="3"/>
        <v>0</v>
      </c>
      <c r="K13" s="45">
        <f t="shared" si="3"/>
        <v>0</v>
      </c>
      <c r="L13" s="45">
        <f t="shared" si="3"/>
        <v>0</v>
      </c>
      <c r="M13" s="45">
        <f t="shared" si="3"/>
        <v>0</v>
      </c>
      <c r="N13" s="45">
        <f t="shared" si="3"/>
        <v>0</v>
      </c>
      <c r="O13" s="45">
        <f t="shared" si="3"/>
        <v>0</v>
      </c>
      <c r="P13" s="45">
        <f t="shared" si="3"/>
        <v>0</v>
      </c>
    </row>
    <row r="14" spans="2:16" ht="15" thickBot="1" x14ac:dyDescent="0.4">
      <c r="B14" s="128" t="s">
        <v>137</v>
      </c>
      <c r="C14" s="129">
        <f>'Income Statement exp Summary'!D74</f>
        <v>9500</v>
      </c>
      <c r="D14" s="129">
        <f>'Income Statement exp Summary'!E74</f>
        <v>3500</v>
      </c>
      <c r="E14" s="129">
        <f>'Income Statement exp Summary'!F74</f>
        <v>3500</v>
      </c>
      <c r="F14" s="129">
        <f>'Income Statement exp Summary'!G74</f>
        <v>6000</v>
      </c>
      <c r="G14" s="129">
        <f>'Income Statement exp Summary'!H74</f>
        <v>3500</v>
      </c>
      <c r="H14" s="50"/>
      <c r="I14" s="50"/>
      <c r="J14" s="50"/>
      <c r="K14" s="50"/>
      <c r="L14" s="50"/>
      <c r="M14" s="50"/>
      <c r="N14" s="50"/>
      <c r="O14" s="50"/>
      <c r="P14" s="50"/>
    </row>
    <row r="15" spans="2:16" ht="18.5" x14ac:dyDescent="0.45">
      <c r="B15" s="118" t="s">
        <v>76</v>
      </c>
      <c r="C15" s="121">
        <f>C16</f>
        <v>0</v>
      </c>
      <c r="D15" s="121">
        <f t="shared" ref="D15:P15" si="4">D16</f>
        <v>0</v>
      </c>
      <c r="E15" s="121">
        <f t="shared" si="4"/>
        <v>0</v>
      </c>
      <c r="F15" s="121">
        <f t="shared" si="4"/>
        <v>0</v>
      </c>
      <c r="G15" s="121">
        <f t="shared" si="4"/>
        <v>0</v>
      </c>
      <c r="H15" s="45">
        <f t="shared" si="4"/>
        <v>0</v>
      </c>
      <c r="I15" s="45">
        <f t="shared" si="4"/>
        <v>0</v>
      </c>
      <c r="J15" s="45">
        <f t="shared" si="4"/>
        <v>0</v>
      </c>
      <c r="K15" s="45">
        <f t="shared" si="4"/>
        <v>0</v>
      </c>
      <c r="L15" s="45">
        <f t="shared" si="4"/>
        <v>0</v>
      </c>
      <c r="M15" s="45">
        <f t="shared" si="4"/>
        <v>0</v>
      </c>
      <c r="N15" s="45">
        <f t="shared" si="4"/>
        <v>0</v>
      </c>
      <c r="O15" s="45">
        <f t="shared" si="4"/>
        <v>0</v>
      </c>
      <c r="P15" s="45">
        <f t="shared" si="4"/>
        <v>0</v>
      </c>
    </row>
    <row r="16" spans="2:16" ht="15" thickBot="1" x14ac:dyDescent="0.4">
      <c r="B16" s="126" t="s">
        <v>77</v>
      </c>
      <c r="C16" s="127"/>
      <c r="D16" s="127"/>
      <c r="E16" s="127"/>
      <c r="F16" s="127"/>
      <c r="G16" s="127"/>
      <c r="H16" s="52"/>
      <c r="I16" s="52"/>
      <c r="J16" s="52"/>
      <c r="K16" s="52"/>
      <c r="L16" s="52"/>
      <c r="M16" s="52"/>
      <c r="N16" s="52"/>
      <c r="O16" s="52"/>
      <c r="P16" s="52"/>
    </row>
    <row r="17" spans="2:16" ht="19" thickBot="1" x14ac:dyDescent="0.5">
      <c r="B17" s="53" t="s">
        <v>78</v>
      </c>
      <c r="C17" s="130">
        <f>C12-C13+C15</f>
        <v>-2269</v>
      </c>
      <c r="D17" s="122">
        <f t="shared" ref="D17:P17" si="5">D12-D13+D15</f>
        <v>39989</v>
      </c>
      <c r="E17" s="122">
        <f t="shared" si="5"/>
        <v>76011</v>
      </c>
      <c r="F17" s="122">
        <f t="shared" si="5"/>
        <v>85116</v>
      </c>
      <c r="G17" s="122">
        <f t="shared" si="5"/>
        <v>111769</v>
      </c>
      <c r="H17" s="54" t="e">
        <f t="shared" si="5"/>
        <v>#REF!</v>
      </c>
      <c r="I17" s="54" t="e">
        <f t="shared" si="5"/>
        <v>#REF!</v>
      </c>
      <c r="J17" s="54" t="e">
        <f t="shared" si="5"/>
        <v>#REF!</v>
      </c>
      <c r="K17" s="54" t="e">
        <f t="shared" si="5"/>
        <v>#REF!</v>
      </c>
      <c r="L17" s="54" t="e">
        <f t="shared" si="5"/>
        <v>#REF!</v>
      </c>
      <c r="M17" s="54" t="e">
        <f t="shared" si="5"/>
        <v>#REF!</v>
      </c>
      <c r="N17" s="54" t="e">
        <f t="shared" si="5"/>
        <v>#REF!</v>
      </c>
      <c r="O17" s="54" t="e">
        <f t="shared" si="5"/>
        <v>#REF!</v>
      </c>
      <c r="P17" s="54" t="e">
        <f t="shared" si="5"/>
        <v>#REF!</v>
      </c>
    </row>
    <row r="18" spans="2:16" ht="15" thickBot="1" x14ac:dyDescent="0.4"/>
    <row r="19" spans="2:16" x14ac:dyDescent="0.35">
      <c r="B19" s="132" t="s">
        <v>132</v>
      </c>
      <c r="C19" s="133">
        <f>'Income Statement exp Summary'!D9</f>
        <v>42900</v>
      </c>
      <c r="D19" s="133">
        <f>'Income Statement exp Summary'!E9</f>
        <v>69700</v>
      </c>
      <c r="E19" s="133">
        <f>'Income Statement exp Summary'!F9</f>
        <v>112700</v>
      </c>
      <c r="F19" s="133">
        <f>'Income Statement exp Summary'!G9</f>
        <v>126800</v>
      </c>
      <c r="G19" s="134">
        <f>'Income Statement exp Summary'!H9</f>
        <v>152000</v>
      </c>
    </row>
    <row r="20" spans="2:16" x14ac:dyDescent="0.35">
      <c r="B20" s="135" t="s">
        <v>133</v>
      </c>
      <c r="C20" s="136">
        <f>'Income Statement exp Summary'!D19+'Income Statement exp Summary'!D56+'Income Statement exp Summary'!D74</f>
        <v>45000</v>
      </c>
      <c r="D20" s="136">
        <f>'Income Statement exp Summary'!E19+'Income Statement exp Summary'!E56+'Income Statement exp Summary'!E74</f>
        <v>28500</v>
      </c>
      <c r="E20" s="136">
        <f>'Income Statement exp Summary'!F19+'Income Statement exp Summary'!F56+'Income Statement exp Summary'!F74</f>
        <v>34400</v>
      </c>
      <c r="F20" s="136">
        <f>'Income Statement exp Summary'!G19+'Income Statement exp Summary'!G56+'Income Statement exp Summary'!G74</f>
        <v>39000</v>
      </c>
      <c r="G20" s="137">
        <f>'Income Statement exp Summary'!H19+'Income Statement exp Summary'!H56+'Income Statement exp Summary'!H74</f>
        <v>36800</v>
      </c>
    </row>
    <row r="21" spans="2:16" ht="15" thickBot="1" x14ac:dyDescent="0.4">
      <c r="B21" s="138" t="s">
        <v>78</v>
      </c>
      <c r="C21" s="139">
        <f>C17</f>
        <v>-2269</v>
      </c>
      <c r="D21" s="140">
        <f t="shared" ref="D21:G21" si="6">D17</f>
        <v>39989</v>
      </c>
      <c r="E21" s="140">
        <f t="shared" si="6"/>
        <v>76011</v>
      </c>
      <c r="F21" s="140">
        <f t="shared" si="6"/>
        <v>85116</v>
      </c>
      <c r="G21" s="141">
        <f t="shared" si="6"/>
        <v>111769</v>
      </c>
    </row>
    <row r="23" spans="2:16" x14ac:dyDescent="0.35">
      <c r="C23" s="177"/>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Income Statement exp Summary</vt:lpstr>
      <vt:lpstr>Sheet2</vt:lpstr>
      <vt:lpstr>Income Statement HSE VR</vt:lpstr>
      <vt:lpstr>Income Statement Education VR</vt:lpstr>
      <vt:lpstr>Income Statement UAV</vt:lpstr>
      <vt:lpstr>Cashflow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firdaus</dc:creator>
  <cp:lastModifiedBy>Firdaus Ali</cp:lastModifiedBy>
  <dcterms:created xsi:type="dcterms:W3CDTF">2020-10-13T07:46:12Z</dcterms:created>
  <dcterms:modified xsi:type="dcterms:W3CDTF">2024-06-22T04:03:34Z</dcterms:modified>
</cp:coreProperties>
</file>
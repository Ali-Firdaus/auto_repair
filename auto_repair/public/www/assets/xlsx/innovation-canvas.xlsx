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4"/>
  </bookViews>
  <sheets>
    <sheet name="Revenue Optimization simulation" sheetId="1" state="hidden" r:id="rId3"/>
    <sheet name="Sheet1" sheetId="2" state="hidden" r:id="rId4"/>
    <sheet name="Investment Process" sheetId="3" state="visible" r:id="rId5"/>
    <sheet name="Phase 1-Ideation" sheetId="4" state="visible" r:id="rId6"/>
    <sheet name="Phase 2-Planning" sheetId="5" state="visible" r:id="rId7"/>
    <sheet name="Phase 3-Devlopment" sheetId="6" state="visible" r:id="rId8"/>
    <sheet name="Phase 4-Commercialization" sheetId="7" state="visible" r:id="rId9"/>
    <sheet name="Commercialisation Model" sheetId="8" state="visible" r:id="rId10"/>
    <sheet name="Innovation Canvas" sheetId="9" state="visible" r:id="rId11"/>
    <sheet name="Sheet2" sheetId="10" state="visible" r:id="rId12"/>
    <sheet name="Sheet2 (2)" sheetId="11" state="hidden" r:id="rId13"/>
    <sheet name="Sheet4" sheetId="12" state="hidden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0- no exclusive
1- less exclusive
5- full exclusive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0- no exclusive
1- less exclusive
5- full exclusive</t>
        </r>
      </text>
    </comment>
  </commentList>
</comments>
</file>

<file path=xl/sharedStrings.xml><?xml version="1.0" encoding="utf-8"?>
<sst xmlns="http://schemas.openxmlformats.org/spreadsheetml/2006/main" count="1222" uniqueCount="266">
  <si>
    <r>
      <rPr>
        <b val="true"/>
        <sz val="11"/>
        <color theme="9" tint="-0.5"/>
        <rFont val="Aptos Narrow"/>
        <family val="2"/>
        <charset val="1"/>
      </rPr>
      <t xml:space="preserve"> Business Channel  (Select dropdown Menue), Set</t>
    </r>
    <r>
      <rPr>
        <b val="true"/>
        <sz val="11"/>
        <color theme="1"/>
        <rFont val="Aptos Narrow"/>
        <family val="2"/>
        <charset val="1"/>
      </rPr>
      <t xml:space="preserve"> Scores </t>
    </r>
    <r>
      <rPr>
        <b val="true"/>
        <sz val="11"/>
        <color theme="9" tint="-0.5"/>
        <rFont val="Aptos Narrow"/>
        <family val="2"/>
        <charset val="1"/>
      </rPr>
      <t xml:space="preserve">&amp; Calculate Charges</t>
    </r>
  </si>
  <si>
    <t xml:space="preserve">Charges</t>
  </si>
  <si>
    <t xml:space="preserve">Investment Strength Matrix</t>
  </si>
  <si>
    <t xml:space="preserve">Score Points</t>
  </si>
  <si>
    <t xml:space="preserve">Royalty</t>
  </si>
  <si>
    <t xml:space="preserve">Fees</t>
  </si>
  <si>
    <t xml:space="preserve">spinoff</t>
  </si>
  <si>
    <t xml:space="preserve">Franchise</t>
  </si>
  <si>
    <t xml:space="preserve">Other</t>
  </si>
  <si>
    <t xml:space="preserve">Strength of idea/ Concept: O- 5 × 5 OMR</t>
  </si>
  <si>
    <t xml:space="preserve">1 to 5*1</t>
  </si>
  <si>
    <t xml:space="preserve">Prototype readiness for commercialisation: 0-5×10 OMR</t>
  </si>
  <si>
    <t xml:space="preserve">1 to 5*2</t>
  </si>
  <si>
    <t xml:space="preserve">Piloting Scale :0-5 × 100</t>
  </si>
  <si>
    <t xml:space="preserve">1 to 5*3</t>
  </si>
  <si>
    <t xml:space="preserve">Franchising : 0-5× 1000</t>
  </si>
  <si>
    <t xml:space="preserve">1 to 5</t>
  </si>
  <si>
    <t xml:space="preserve">IP Strength : 0 × 5 × 100 OMR</t>
  </si>
  <si>
    <t xml:space="preserve">1 to 5*5</t>
  </si>
  <si>
    <t xml:space="preserve">Branding readiness :0-5 × 100 OMR</t>
  </si>
  <si>
    <t xml:space="preserve">commercialisation Readiness: 0-5×100 OMR</t>
  </si>
  <si>
    <t xml:space="preserve">1 to 5*10</t>
  </si>
  <si>
    <t xml:space="preserve">Exclusivity: :0-5×100 OMR</t>
  </si>
  <si>
    <t xml:space="preserve">1 to 5*100</t>
  </si>
  <si>
    <t xml:space="preserve">Total score = </t>
  </si>
  <si>
    <t xml:space="preserve">Total Charges =</t>
  </si>
  <si>
    <t xml:space="preserve">Targetted Markets </t>
  </si>
  <si>
    <t xml:space="preserve">Customers</t>
  </si>
  <si>
    <r>
      <rPr>
        <sz val="11"/>
        <color rgb="FFFF0000"/>
        <rFont val="Aptos Narrow"/>
        <family val="2"/>
        <charset val="1"/>
      </rPr>
      <t xml:space="preserve">Commercialization Channels- </t>
    </r>
    <r>
      <rPr>
        <sz val="11"/>
        <color rgb="FF00B050"/>
        <rFont val="Aptos Narrow"/>
        <family val="2"/>
        <charset val="1"/>
      </rPr>
      <t xml:space="preserve">Targetted</t>
    </r>
    <r>
      <rPr>
        <sz val="11"/>
        <color rgb="FFFF0000"/>
        <rFont val="Aptos Narrow"/>
        <family val="2"/>
        <charset val="1"/>
      </rPr>
      <t xml:space="preserve"> </t>
    </r>
    <r>
      <rPr>
        <sz val="11"/>
        <color theme="1"/>
        <rFont val="Aptos Narrow"/>
        <family val="2"/>
        <charset val="1"/>
      </rPr>
      <t xml:space="preserve">Number of Customers</t>
    </r>
  </si>
  <si>
    <t xml:space="preserve">Revenue</t>
  </si>
  <si>
    <t xml:space="preserve">Commercialization Channels-Revenue(in OMR)</t>
  </si>
  <si>
    <t xml:space="preserve">Region</t>
  </si>
  <si>
    <t xml:space="preserve">Segments </t>
  </si>
  <si>
    <t xml:space="preserve">Partners</t>
  </si>
  <si>
    <r>
      <rPr>
        <sz val="11"/>
        <color rgb="FFFF0000"/>
        <rFont val="Aptos Narrow"/>
        <family val="2"/>
        <charset val="1"/>
      </rPr>
      <t xml:space="preserve">Total</t>
    </r>
    <r>
      <rPr>
        <sz val="11"/>
        <color theme="1"/>
        <rFont val="Aptos Narrow"/>
        <family val="2"/>
        <charset val="1"/>
      </rPr>
      <t xml:space="preserve">  </t>
    </r>
    <r>
      <rPr>
        <sz val="11"/>
        <color rgb="FF00B050"/>
        <rFont val="Aptos Narrow"/>
        <family val="2"/>
        <charset val="1"/>
      </rPr>
      <t xml:space="preserve">Revenues</t>
    </r>
  </si>
  <si>
    <t xml:space="preserve">Channel</t>
  </si>
  <si>
    <t xml:space="preserve">Total</t>
  </si>
  <si>
    <t xml:space="preserve">Oman</t>
  </si>
  <si>
    <t xml:space="preserve">Segment 1</t>
  </si>
  <si>
    <t xml:space="preserve">Partners1</t>
  </si>
  <si>
    <t xml:space="preserve">Partners2</t>
  </si>
  <si>
    <t xml:space="preserve">Partners3</t>
  </si>
  <si>
    <t xml:space="preserve">Segment 2</t>
  </si>
  <si>
    <t xml:space="preserve">Partners4</t>
  </si>
  <si>
    <t xml:space="preserve">Partners5</t>
  </si>
  <si>
    <t xml:space="preserve">Partners6</t>
  </si>
  <si>
    <t xml:space="preserve">Segment3</t>
  </si>
  <si>
    <t xml:space="preserve">Partners7</t>
  </si>
  <si>
    <t xml:space="preserve">Partners8</t>
  </si>
  <si>
    <t xml:space="preserve">Partners9</t>
  </si>
  <si>
    <t xml:space="preserve">Total-Oman</t>
  </si>
  <si>
    <t xml:space="preserve">Iran</t>
  </si>
  <si>
    <t xml:space="preserve">Total-Iran</t>
  </si>
  <si>
    <t xml:space="preserve">Malaysia</t>
  </si>
  <si>
    <t xml:space="preserve">Total-Malaysia</t>
  </si>
  <si>
    <r>
      <rPr>
        <b val="true"/>
        <sz val="11"/>
        <color theme="1"/>
        <rFont val="Aptos Narrow"/>
        <family val="2"/>
        <charset val="1"/>
      </rPr>
      <t xml:space="preserve">Total </t>
    </r>
    <r>
      <rPr>
        <b val="true"/>
        <sz val="11"/>
        <color rgb="FF00B050"/>
        <rFont val="Aptos Narrow"/>
        <family val="2"/>
        <charset val="1"/>
      </rPr>
      <t xml:space="preserve">Revenues</t>
    </r>
  </si>
  <si>
    <t xml:space="preserve">Section 1</t>
  </si>
  <si>
    <t xml:space="preserve">Commercialisation Model: dropdown</t>
  </si>
  <si>
    <t xml:space="preserve">Should include all necessary sections of innovation driven businesses</t>
  </si>
  <si>
    <t xml:space="preserve">Innovation Canvas</t>
  </si>
  <si>
    <t xml:space="preserve">Customer Segments</t>
  </si>
  <si>
    <t xml:space="preserve">15 elements(incluidng commercualization feasi8nbility matrix)</t>
  </si>
  <si>
    <t xml:space="preserve">Section 2</t>
  </si>
  <si>
    <t xml:space="preserve">Value propositions</t>
  </si>
  <si>
    <t xml:space="preserve">Revenue stream</t>
  </si>
  <si>
    <t xml:space="preserve">Price from matrix</t>
  </si>
  <si>
    <t xml:space="preserve">targeted customers</t>
  </si>
  <si>
    <t xml:space="preserve">Section 3</t>
  </si>
  <si>
    <t xml:space="preserve">Channels</t>
  </si>
  <si>
    <t xml:space="preserve">Section 4</t>
  </si>
  <si>
    <t xml:space="preserve">Customer relationships</t>
  </si>
  <si>
    <t xml:space="preserve">Section 5</t>
  </si>
  <si>
    <t xml:space="preserve">key actvities</t>
  </si>
  <si>
    <t xml:space="preserve">Section 6</t>
  </si>
  <si>
    <t xml:space="preserve">Key resources</t>
  </si>
  <si>
    <t xml:space="preserve">Section 7</t>
  </si>
  <si>
    <t xml:space="preserve">Key partnerships</t>
  </si>
  <si>
    <t xml:space="preserve">Commercialisation Feasibility Matrix</t>
  </si>
  <si>
    <t xml:space="preserve">Feasibility</t>
  </si>
  <si>
    <t xml:space="preserve">Section 8</t>
  </si>
  <si>
    <t xml:space="preserve">Feasibility matrix--pricing</t>
  </si>
  <si>
    <t xml:space="preserve">Revenue Streams</t>
  </si>
  <si>
    <t xml:space="preserve">Section 9</t>
  </si>
  <si>
    <t xml:space="preserve">Number of customers</t>
  </si>
  <si>
    <t xml:space="preserve">Section 10</t>
  </si>
  <si>
    <t xml:space="preserve">Costs</t>
  </si>
  <si>
    <t xml:space="preserve">Section 11</t>
  </si>
  <si>
    <t xml:space="preserve">Financial Plan</t>
  </si>
  <si>
    <t xml:space="preserve">COGS</t>
  </si>
  <si>
    <t xml:space="preserve">GP</t>
  </si>
  <si>
    <t xml:space="preserve">Op ex</t>
  </si>
  <si>
    <t xml:space="preserve">Net profit</t>
  </si>
  <si>
    <t xml:space="preserve">ROI</t>
  </si>
  <si>
    <t xml:space="preserve">Breakeven</t>
  </si>
  <si>
    <t xml:space="preserve">Innovation Canvas---&gt; Innovation feasibility---&gt;Innovation commercialization plan</t>
  </si>
  <si>
    <t xml:space="preserve">Progress 0</t>
  </si>
  <si>
    <t xml:space="preserve">Progress 1</t>
  </si>
  <si>
    <t xml:space="preserve">Progress 2</t>
  </si>
  <si>
    <t xml:space="preserve">Progress 3</t>
  </si>
  <si>
    <t xml:space="preserve">Progress 4</t>
  </si>
  <si>
    <t xml:space="preserve">Progress 5</t>
  </si>
  <si>
    <t xml:space="preserve">Progress 6</t>
  </si>
  <si>
    <t xml:space="preserve">Progress 7</t>
  </si>
  <si>
    <t xml:space="preserve">Progress 8</t>
  </si>
  <si>
    <t xml:space="preserve">Progress 9</t>
  </si>
  <si>
    <t xml:space="preserve">Progress 10</t>
  </si>
  <si>
    <t xml:space="preserve">Understanding</t>
  </si>
  <si>
    <t xml:space="preserve">Shares for Mediating Agencies</t>
  </si>
  <si>
    <t xml:space="preserve">Simulation</t>
  </si>
  <si>
    <t xml:space="preserve">Key Partnerships</t>
  </si>
  <si>
    <t xml:space="preserve">Linking &amp; Bridging = 10,20,30% of Royality Charges </t>
  </si>
  <si>
    <t xml:space="preserve">Maintenance &amp; Improvement 10,20,30% of Royality Charge</t>
  </si>
  <si>
    <t xml:space="preserve">Setcion 4</t>
  </si>
  <si>
    <t xml:space="preserve">KPIs &amp; Targets</t>
  </si>
  <si>
    <t xml:space="preserve">Break-Even analysis</t>
  </si>
  <si>
    <t xml:space="preserve">Approval </t>
  </si>
  <si>
    <t xml:space="preserve">Provisional</t>
  </si>
  <si>
    <t xml:space="preserve">Tabulated clients list </t>
  </si>
  <si>
    <t xml:space="preserve">Individual or Entity</t>
  </si>
  <si>
    <t xml:space="preserve">Name</t>
  </si>
  <si>
    <t xml:space="preserve">Package System </t>
  </si>
  <si>
    <t xml:space="preserve">Royality Fees </t>
  </si>
  <si>
    <t xml:space="preserve">Payment Mode (monthly or Annual)</t>
  </si>
  <si>
    <t xml:space="preserve">Provisional field </t>
  </si>
  <si>
    <t xml:space="preserve">Provisional </t>
  </si>
  <si>
    <t xml:space="preserve">Phases</t>
  </si>
  <si>
    <t xml:space="preserve">Steps</t>
  </si>
  <si>
    <t xml:space="preserve">Phase 1: Ideation</t>
  </si>
  <si>
    <t xml:space="preserve">As Consultancy Initiation</t>
  </si>
  <si>
    <t xml:space="preserve">Phase 2:Planning</t>
  </si>
  <si>
    <t xml:space="preserve">Phase 3: Prototype Development &amp; Validation</t>
  </si>
  <si>
    <t xml:space="preserve">Should Reflect what is planned in phase 2(updating</t>
  </si>
  <si>
    <t xml:space="preserve">Phase 4: Commercialization</t>
  </si>
  <si>
    <t xml:space="preserve">Phase 2: Planning</t>
  </si>
  <si>
    <t xml:space="preserve">Section 1: Innovation Canvas</t>
  </si>
  <si>
    <t xml:space="preserve">Customer Segments(name)</t>
  </si>
  <si>
    <t xml:space="preserve">Segment Market Size(value in OMR)</t>
  </si>
  <si>
    <t xml:space="preserve">Value Propositions(name)</t>
  </si>
  <si>
    <t xml:space="preserve">Value Propositions(Descriptions)</t>
  </si>
  <si>
    <t xml:space="preserve">Sales Channels(eg. Distributor, direct, none)</t>
  </si>
  <si>
    <t xml:space="preserve">Channels(Descriptions)</t>
  </si>
  <si>
    <t xml:space="preserve">Customer Relationships(example service call center/email/whatsapp)</t>
  </si>
  <si>
    <t xml:space="preserve">Customer Relationships(Descriptions)</t>
  </si>
  <si>
    <t xml:space="preserve">Key Activities(name)</t>
  </si>
  <si>
    <t xml:space="preserve">Key Activities(Descriptions)</t>
  </si>
  <si>
    <t xml:space="preserve">Key Resources(name)</t>
  </si>
  <si>
    <t xml:space="preserve">Key Resources(Costs in OMR)</t>
  </si>
  <si>
    <t xml:space="preserve">Key Partnerships(name)</t>
  </si>
  <si>
    <t xml:space="preserve">Key Partnerships(description)</t>
  </si>
  <si>
    <t xml:space="preserve">Projected Revenue</t>
  </si>
  <si>
    <t xml:space="preserve">Annual Value(in OMR)</t>
  </si>
  <si>
    <t xml:space="preserve">Cost Structure</t>
  </si>
  <si>
    <t xml:space="preserve">COGS/Cost of Sales for Royalty</t>
  </si>
  <si>
    <t xml:space="preserve">COGS/Cost of Sales for Fees</t>
  </si>
  <si>
    <t xml:space="preserve">COGS/Cost of Sales for spinoff</t>
  </si>
  <si>
    <t xml:space="preserve">COGS/Cost of Sales for Franchise</t>
  </si>
  <si>
    <t xml:space="preserve">COGS/Cost of Sales for Other</t>
  </si>
  <si>
    <t xml:space="preserve">Total COGS/Cost of Sales</t>
  </si>
  <si>
    <t xml:space="preserve">Operating costs</t>
  </si>
  <si>
    <t xml:space="preserve">Direct Fixed costs(Assets+Development cost)</t>
  </si>
  <si>
    <t xml:space="preserve">Other Cost(Name of Cost)</t>
  </si>
  <si>
    <t xml:space="preserve">Allow multiple ("+" or "Add")</t>
  </si>
  <si>
    <t xml:space="preserve">Total Costs</t>
  </si>
  <si>
    <t xml:space="preserve">Commercialization Matrix
(For pricing)</t>
  </si>
  <si>
    <t xml:space="preserve">Elements/constituents</t>
  </si>
  <si>
    <t xml:space="preserve">Factor (Magnitude of Strength)</t>
  </si>
  <si>
    <t xml:space="preserve">scale(dropdown 0-5)</t>
  </si>
  <si>
    <t xml:space="preserve">Strength of idea/ Concept</t>
  </si>
  <si>
    <t xml:space="preserve">Prototype readiness for commercialisation</t>
  </si>
  <si>
    <t xml:space="preserve">Completion &amp; Quality of Piloting Scale </t>
  </si>
  <si>
    <t xml:space="preserve">IP Protection Strength </t>
  </si>
  <si>
    <t xml:space="preserve">Branding Readiness </t>
  </si>
  <si>
    <t xml:space="preserve">Commercialisation Readiness</t>
  </si>
  <si>
    <t xml:space="preserve">Exclusivity (0 score no Exclusivity &amp; 5 Full Exclusivity) </t>
  </si>
  <si>
    <t xml:space="preserve">Section 2: Investment feasibility</t>
  </si>
  <si>
    <t xml:space="preserve">Overall Feasibility Analysis</t>
  </si>
  <si>
    <t xml:space="preserve">Cogs/Costs of sales</t>
  </si>
  <si>
    <t xml:space="preserve">Gross Profit</t>
  </si>
  <si>
    <t xml:space="preserve">Total Annual Revenue( from revenue streams value from canvas)</t>
  </si>
  <si>
    <t xml:space="preserve">COGS/Cost of Sales(from cogs/costs of sales value from canvas)</t>
  </si>
  <si>
    <t xml:space="preserve">Gross Profit(value in OMR)</t>
  </si>
  <si>
    <t xml:space="preserve">Gross Profit(in %)</t>
  </si>
  <si>
    <t xml:space="preserve">Operating Costs(from total costs value from canvas)</t>
  </si>
  <si>
    <t xml:space="preserve">Net Margin(value in OMR)</t>
  </si>
  <si>
    <t xml:space="preserve">Net Profit(in %)</t>
  </si>
  <si>
    <t xml:space="preserve">Fixed+ Other costs</t>
  </si>
  <si>
    <t xml:space="preserve">Return on Investment =(net profit-investment)/investment*100</t>
  </si>
  <si>
    <t xml:space="preserve">Break-Even analysis= direct fix costs/gross profit</t>
  </si>
  <si>
    <t xml:space="preserve">Section 3: Prototyping Plan</t>
  </si>
  <si>
    <t xml:space="preserve">Tasks As Consultancy</t>
  </si>
  <si>
    <t xml:space="preserve">Section 5: Progress Reporting</t>
  </si>
  <si>
    <t xml:space="preserve">As Consultancy</t>
  </si>
  <si>
    <t xml:space="preserve">Section 6: Attachments</t>
  </si>
  <si>
    <t xml:space="preserve">Section 7: Evolutionary Needs(Provisional)</t>
  </si>
  <si>
    <t xml:space="preserve">Section 8: Approval</t>
  </si>
  <si>
    <t xml:space="preserve">Should Reflect what is planned in phase 2</t>
  </si>
  <si>
    <t xml:space="preserve">Section 1: Commercialisation Model (Product Wise) eg, SI-6</t>
  </si>
  <si>
    <t xml:space="preserve">Score Calculations</t>
  </si>
  <si>
    <t xml:space="preserve"> Business Channel  (Select one from dropdown Menu), then Set Scores &amp; Calculate Charges</t>
  </si>
  <si>
    <t xml:space="preserve">Factor</t>
  </si>
  <si>
    <r>
      <rPr>
        <sz val="11"/>
        <color rgb="FF00B050"/>
        <rFont val="Aptos Narrow"/>
        <family val="2"/>
        <charset val="1"/>
      </rPr>
      <t xml:space="preserve">Exclusivity</t>
    </r>
    <r>
      <rPr>
        <sz val="10"/>
        <color rgb="FF00B050"/>
        <rFont val="Aptos Narrow"/>
        <family val="2"/>
        <charset val="1"/>
      </rPr>
      <t xml:space="preserve"> (0 score no Exclusivity &amp; 5 Full Exclusivity) </t>
    </r>
  </si>
  <si>
    <t xml:space="preserve">Packages</t>
  </si>
  <si>
    <t xml:space="preserve">Charges in OMR</t>
  </si>
  <si>
    <t xml:space="preserve">Bronze</t>
  </si>
  <si>
    <t xml:space="preserve">Silver</t>
  </si>
  <si>
    <t xml:space="preserve">Gold</t>
  </si>
  <si>
    <t xml:space="preserve">Targeted Markets </t>
  </si>
  <si>
    <t xml:space="preserve">Targeted Number of Customers &amp; Revenue</t>
  </si>
  <si>
    <t xml:space="preserve">Segments/Sectors</t>
  </si>
  <si>
    <t xml:space="preserve">Oman
(Projected Number of Customers)</t>
  </si>
  <si>
    <t xml:space="preserve">SI6/Garages</t>
  </si>
  <si>
    <t xml:space="preserve">SI6/Services</t>
  </si>
  <si>
    <t xml:space="preserve">SI6/Food &amp; Beverages</t>
  </si>
  <si>
    <t xml:space="preserve">Other(provision)</t>
  </si>
  <si>
    <t xml:space="preserve">Total Number of Customers -Oman</t>
  </si>
  <si>
    <t xml:space="preserve">Total Revenue ( in OMR)-Oman</t>
  </si>
  <si>
    <t xml:space="preserve">Iran
(Projected Number of Customers)</t>
  </si>
  <si>
    <t xml:space="preserve">Total Number of Customers -Iran</t>
  </si>
  <si>
    <t xml:space="preserve">Total Revenue ( in OMR)-Iran</t>
  </si>
  <si>
    <t xml:space="preserve">Malaysia
(Projected Number of Customers)</t>
  </si>
  <si>
    <t xml:space="preserve">Total Number of Customers -Malaysia</t>
  </si>
  <si>
    <t xml:space="preserve">Total Revenue ( in OMR)-Malaysia</t>
  </si>
  <si>
    <t xml:space="preserve">Total Number of Customers</t>
  </si>
  <si>
    <t xml:space="preserve">Total Revenues ( in OMR)</t>
  </si>
  <si>
    <t xml:space="preserve">Section 1: Commercialization Model Summary</t>
  </si>
  <si>
    <t xml:space="preserve">Price</t>
  </si>
  <si>
    <t xml:space="preserve">Charges (in OMR)</t>
  </si>
  <si>
    <t xml:space="preserve">Section 2: QC</t>
  </si>
  <si>
    <t xml:space="preserve">Section 3: Feedback</t>
  </si>
  <si>
    <t xml:space="preserve">Section 4: Attachments</t>
  </si>
  <si>
    <t xml:space="preserve">Section 5: Approval</t>
  </si>
  <si>
    <t xml:space="preserve">Commercialisation Model (Product Wise) eg, SI-6</t>
  </si>
  <si>
    <r>
      <rPr>
        <sz val="11"/>
        <color theme="9" tint="-0.5"/>
        <rFont val="Aptos Narrow"/>
        <family val="2"/>
        <charset val="1"/>
      </rPr>
      <t xml:space="preserve"> Business Channel  (Select one from dropdown Menue), then Set</t>
    </r>
    <r>
      <rPr>
        <sz val="11"/>
        <color theme="1"/>
        <rFont val="Aptos Narrow"/>
        <family val="2"/>
        <charset val="1"/>
      </rPr>
      <t xml:space="preserve"> Scores </t>
    </r>
    <r>
      <rPr>
        <sz val="11"/>
        <color theme="9" tint="-0.5"/>
        <rFont val="Aptos Narrow"/>
        <family val="2"/>
        <charset val="1"/>
      </rPr>
      <t xml:space="preserve">&amp; Calculate Charges</t>
    </r>
  </si>
  <si>
    <t xml:space="preserve">Commercialization Matrix</t>
  </si>
  <si>
    <r>
      <rPr>
        <sz val="11"/>
        <color theme="1"/>
        <rFont val="Aptos Narrow"/>
        <family val="2"/>
        <charset val="1"/>
      </rPr>
      <t xml:space="preserve">Exclusivity</t>
    </r>
    <r>
      <rPr>
        <sz val="10"/>
        <color theme="1"/>
        <rFont val="Aptos Narrow"/>
        <family val="2"/>
        <charset val="1"/>
      </rPr>
      <t xml:space="preserve"> (0 score no Execlusivity &amp; 5 Full Execlusivity) </t>
    </r>
  </si>
  <si>
    <r>
      <rPr>
        <b val="true"/>
        <sz val="11"/>
        <color theme="1"/>
        <rFont val="Aptos Narrow"/>
        <family val="2"/>
        <charset val="1"/>
      </rPr>
      <t xml:space="preserve">Total </t>
    </r>
    <r>
      <rPr>
        <b val="true"/>
        <sz val="11"/>
        <color rgb="FF00B050"/>
        <rFont val="Aptos Narrow"/>
        <family val="2"/>
        <charset val="1"/>
      </rPr>
      <t xml:space="preserve">Revenues</t>
    </r>
    <r>
      <rPr>
        <b val="true"/>
        <sz val="11"/>
        <color theme="1"/>
        <rFont val="Aptos Narrow"/>
        <family val="2"/>
        <charset val="1"/>
      </rPr>
      <t xml:space="preserve"> ( in OMR)</t>
    </r>
  </si>
  <si>
    <t xml:space="preserve">Section 2: Summary Table</t>
  </si>
  <si>
    <r>
      <rPr>
        <b val="true"/>
        <sz val="11"/>
        <color theme="1"/>
        <rFont val="Aptos Narrow"/>
        <family val="2"/>
        <charset val="1"/>
      </rPr>
      <t xml:space="preserve">Total </t>
    </r>
    <r>
      <rPr>
        <b val="true"/>
        <sz val="11"/>
        <color rgb="FF00B050"/>
        <rFont val="Aptos Narrow"/>
        <family val="2"/>
        <charset val="1"/>
      </rPr>
      <t xml:space="preserve">Number</t>
    </r>
    <r>
      <rPr>
        <b val="true"/>
        <sz val="11"/>
        <color theme="1"/>
        <rFont val="Aptos Narrow"/>
        <family val="2"/>
        <charset val="1"/>
      </rPr>
      <t xml:space="preserve"> of Customers</t>
    </r>
  </si>
  <si>
    <t xml:space="preserve">Sales Channels(eg. Distributor, direct,none)</t>
  </si>
  <si>
    <t xml:space="preserve">Spinoff</t>
  </si>
  <si>
    <t xml:space="preserve">Others</t>
  </si>
  <si>
    <t xml:space="preserve">sacle(dropdown 0-5)</t>
  </si>
  <si>
    <t xml:space="preserve">Exclusivity (0 score no Execlusivity &amp; 5 Full Execlusivity) </t>
  </si>
  <si>
    <t xml:space="preserve">Charges/unit</t>
  </si>
  <si>
    <t xml:space="preserve">Scale</t>
  </si>
  <si>
    <t xml:space="preserve">Score</t>
  </si>
  <si>
    <t xml:space="preserve">Commercialisation charges/ Royality Feasibility matrix</t>
  </si>
  <si>
    <t xml:space="preserve">SI-6</t>
  </si>
  <si>
    <t xml:space="preserve">Eco House</t>
  </si>
  <si>
    <t xml:space="preserve">Green House</t>
  </si>
  <si>
    <t xml:space="preserve">Franchising Fees: 0-5× 100</t>
  </si>
  <si>
    <t xml:space="preserve">Total Fix Cahrge</t>
  </si>
  <si>
    <t xml:space="preserve">Total Charges</t>
  </si>
  <si>
    <t xml:space="preserve">Exclusivity</t>
  </si>
  <si>
    <t xml:space="preserve">Number of targeted clients</t>
  </si>
  <si>
    <t xml:space="preserve">1- Maximum exclusivity</t>
  </si>
  <si>
    <t xml:space="preserve">Customer by regions</t>
  </si>
  <si>
    <t xml:space="preserve">5- Maximum 5 clients</t>
  </si>
  <si>
    <t xml:space="preserve">Innovation canvas --&gt; innovation fininacial plan simulation--&gt;commercialization feasibility</t>
  </si>
  <si>
    <t xml:space="preserve">None</t>
  </si>
  <si>
    <t xml:space="preserve">1 person</t>
  </si>
  <si>
    <t xml:space="preserve">Segment</t>
  </si>
  <si>
    <t xml:space="preserve">Number of Customers</t>
  </si>
  <si>
    <t xml:space="preserve">Segments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</si>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</sst>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_(* #,##0_);_(* \(#,##0\);_(* \-??_);_(@_)"/>
    <numFmt numFmtId="167" formatCode="General"/>
    <numFmt numFmtId="168" formatCode="0%"/>
  </numFmts>
  <fonts count="1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9" tint="-0.5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theme="9" tint="-0.5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color rgb="FF00B050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6"/>
      <color theme="1"/>
      <name val="Aptos Narrow"/>
      <family val="2"/>
      <charset val="1"/>
    </font>
    <font>
      <sz val="10"/>
      <color rgb="FF00B050"/>
      <name val="Aptos Narrow"/>
      <family val="2"/>
      <charset val="1"/>
    </font>
    <font>
      <b val="true"/>
      <sz val="12"/>
      <color rgb="FF00B050"/>
      <name val="Aptos Narrow"/>
      <family val="2"/>
      <charset val="1"/>
    </font>
    <font>
      <sz val="10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9"/>
      <color theme="1"/>
      <name val="Segoe UI"/>
      <family val="2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7999"/>
        <bgColor rgb="FFC1E5F5"/>
      </patternFill>
    </fill>
    <fill>
      <patternFill patternType="solid">
        <fgColor theme="4" tint="0.7999"/>
        <bgColor rgb="FFCAEEFB"/>
      </patternFill>
    </fill>
    <fill>
      <patternFill patternType="solid">
        <fgColor theme="0"/>
        <bgColor rgb="FFFBE3D6"/>
      </patternFill>
    </fill>
    <fill>
      <patternFill patternType="solid">
        <fgColor theme="5" tint="0.7999"/>
        <bgColor rgb="FFD9D9D9"/>
      </patternFill>
    </fill>
    <fill>
      <patternFill patternType="solid">
        <fgColor theme="9" tint="0.7999"/>
        <bgColor rgb="FFCAEEFB"/>
      </patternFill>
    </fill>
    <fill>
      <patternFill patternType="solid">
        <fgColor theme="7" tint="0.5999"/>
        <bgColor rgb="FF83CBEB"/>
      </patternFill>
    </fill>
    <fill>
      <patternFill patternType="solid">
        <fgColor theme="0" tint="-0.15"/>
        <bgColor rgb="FFC1E5F5"/>
      </patternFill>
    </fill>
    <fill>
      <patternFill patternType="solid">
        <fgColor theme="4" tint="0.5999"/>
        <bgColor rgb="FF96DCF8"/>
      </patternFill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D9D9D9"/>
      </patternFill>
    </fill>
    <fill>
      <patternFill patternType="solid">
        <fgColor rgb="FFFF9933"/>
        <bgColor rgb="FFFF8080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>
        <color rgb="FF00B050"/>
      </left>
      <right/>
      <top style="medium">
        <color rgb="FF00B050"/>
      </top>
      <bottom/>
      <diagonal/>
    </border>
    <border diagonalUp="false" diagonalDown="false">
      <left/>
      <right/>
      <top style="medium">
        <color rgb="FF00B050"/>
      </top>
      <bottom style="medium"/>
      <diagonal/>
    </border>
    <border diagonalUp="false" diagonalDown="false">
      <left/>
      <right/>
      <top style="medium">
        <color rgb="FF00B050"/>
      </top>
      <bottom/>
      <diagonal/>
    </border>
    <border diagonalUp="false" diagonalDown="false">
      <left/>
      <right style="medium">
        <color rgb="FF00B050"/>
      </right>
      <top style="medium">
        <color rgb="FF00B050"/>
      </top>
      <bottom/>
      <diagonal/>
    </border>
    <border diagonalUp="false" diagonalDown="false">
      <left style="medium">
        <color rgb="FF00B050"/>
      </left>
      <right/>
      <top/>
      <bottom/>
      <diagonal/>
    </border>
    <border diagonalUp="false" diagonalDown="false">
      <left style="medium">
        <color rgb="FF00B050"/>
      </left>
      <right style="thin"/>
      <top style="thin"/>
      <bottom style="thin"/>
      <diagonal/>
    </border>
    <border diagonalUp="false" diagonalDown="false">
      <left style="thin"/>
      <right style="medium">
        <color rgb="FF00B050"/>
      </right>
      <top style="thin"/>
      <bottom style="thin"/>
      <diagonal/>
    </border>
    <border diagonalUp="false" diagonalDown="false">
      <left/>
      <right style="medium">
        <color rgb="FF00B050"/>
      </right>
      <top/>
      <bottom/>
      <diagonal/>
    </border>
    <border diagonalUp="false" diagonalDown="false">
      <left style="medium">
        <color rgb="FF00B050"/>
      </left>
      <right style="thin"/>
      <top style="thin"/>
      <bottom style="medium"/>
      <diagonal/>
    </border>
    <border diagonalUp="false" diagonalDown="false">
      <left/>
      <right style="medium">
        <color rgb="FF00B050"/>
      </right>
      <top/>
      <bottom style="medium"/>
      <diagonal/>
    </border>
    <border diagonalUp="false" diagonalDown="false">
      <left style="medium">
        <color rgb="FF00B050"/>
      </left>
      <right style="thin"/>
      <top style="medium"/>
      <bottom style="thin"/>
      <diagonal/>
    </border>
    <border diagonalUp="false" diagonalDown="false">
      <left style="thin"/>
      <right style="medium">
        <color rgb="FF00B050"/>
      </right>
      <top style="medium"/>
      <bottom style="thin"/>
      <diagonal/>
    </border>
    <border diagonalUp="false" diagonalDown="false">
      <left style="medium">
        <color rgb="FF00B050"/>
      </left>
      <right style="thin"/>
      <top style="thin"/>
      <bottom style="medium">
        <color rgb="FF00B050"/>
      </bottom>
      <diagonal/>
    </border>
    <border diagonalUp="false" diagonalDown="false">
      <left style="thin"/>
      <right style="thin"/>
      <top style="thin"/>
      <bottom style="medium">
        <color rgb="FF00B050"/>
      </bottom>
      <diagonal/>
    </border>
    <border diagonalUp="false" diagonalDown="false">
      <left style="thin"/>
      <right style="medium">
        <color rgb="FF00B050"/>
      </right>
      <top style="thin"/>
      <bottom style="medium">
        <color rgb="FF00B0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6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11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11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11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11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4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5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5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2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2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2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3CBEB"/>
      <rgbColor rgb="FF993366"/>
      <rgbColor rgb="FFFBE3D6"/>
      <rgbColor rgb="FFCA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5F5"/>
      <rgbColor rgb="FFD9F2D0"/>
      <rgbColor rgb="FFFFFF99"/>
      <rgbColor rgb="FF96DCF8"/>
      <rgbColor rgb="FFFF99CC"/>
      <rgbColor rgb="FFCC99FF"/>
      <rgbColor rgb="FFFFCC99"/>
      <rgbColor rgb="FF3366FF"/>
      <rgbColor rgb="FF33CCCC"/>
      <rgbColor rgb="FF99CC00"/>
      <rgbColor rgb="FFFFCC00"/>
      <rgbColor rgb="FFFF9933"/>
      <rgbColor rgb="FFFF6600"/>
      <rgbColor rgb="FF666699"/>
      <rgbColor rgb="FF969696"/>
      <rgbColor rgb="FF003366"/>
      <rgbColor rgb="FF00B050"/>
      <rgbColor rgb="FF003300"/>
      <rgbColor rgb="FF2754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.18"/>
    <col collapsed="false" customWidth="true" hidden="false" outlineLevel="0" max="3" min="3" style="0" width="10.27"/>
    <col collapsed="false" customWidth="true" hidden="false" outlineLevel="0" max="6" min="6" style="0" width="10.54"/>
    <col collapsed="false" customWidth="true" hidden="false" outlineLevel="0" max="7" min="7" style="0" width="12.82"/>
    <col collapsed="false" customWidth="true" hidden="false" outlineLevel="0" max="8" min="8" style="0" width="18.82"/>
    <col collapsed="false" customWidth="true" hidden="false" outlineLevel="0" max="9" min="9" style="0" width="15.27"/>
    <col collapsed="false" customWidth="true" hidden="false" outlineLevel="0" max="11" min="11" style="0" width="15.18"/>
    <col collapsed="false" customWidth="true" hidden="false" outlineLevel="0" max="12" min="12" style="0" width="11.45"/>
    <col collapsed="false" customWidth="true" hidden="false" outlineLevel="0" max="13" min="13" style="0" width="10.27"/>
    <col collapsed="false" customWidth="true" hidden="false" outlineLevel="0" max="18" min="14" style="0" width="13.45"/>
    <col collapsed="false" customWidth="true" hidden="false" outlineLevel="0" max="19" min="19" style="0" width="16.27"/>
  </cols>
  <sheetData>
    <row r="1" customFormat="false" ht="28.5" hidden="false" customHeight="true" outlineLevel="0" collapsed="false">
      <c r="D1" s="1" t="s">
        <v>0</v>
      </c>
      <c r="E1" s="1"/>
      <c r="F1" s="1"/>
      <c r="G1" s="1"/>
      <c r="H1" s="1"/>
      <c r="N1" s="2" t="s">
        <v>1</v>
      </c>
      <c r="O1" s="2"/>
      <c r="P1" s="2"/>
      <c r="Q1" s="2"/>
      <c r="R1" s="2"/>
    </row>
    <row r="2" customFormat="false" ht="14.25" hidden="false" customHeight="false" outlineLevel="0" collapsed="false">
      <c r="A2" s="3" t="s">
        <v>2</v>
      </c>
      <c r="B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N2" s="6" t="s">
        <v>4</v>
      </c>
      <c r="O2" s="6" t="s">
        <v>5</v>
      </c>
      <c r="P2" s="6" t="s">
        <v>6</v>
      </c>
      <c r="Q2" s="6" t="s">
        <v>7</v>
      </c>
      <c r="R2" s="6" t="s">
        <v>8</v>
      </c>
    </row>
    <row r="3" customFormat="false" ht="14.25" hidden="false" customHeight="false" outlineLevel="0" collapsed="false">
      <c r="A3" s="4" t="s">
        <v>9</v>
      </c>
      <c r="B3" s="7" t="s">
        <v>10</v>
      </c>
      <c r="D3" s="8" t="n">
        <f aca="false">5*1</f>
        <v>5</v>
      </c>
      <c r="E3" s="8" t="n">
        <f aca="false">5*1</f>
        <v>5</v>
      </c>
      <c r="F3" s="8" t="n">
        <f aca="false">5*1</f>
        <v>5</v>
      </c>
      <c r="G3" s="8" t="n">
        <f aca="false">5*1</f>
        <v>5</v>
      </c>
      <c r="H3" s="8"/>
      <c r="N3" s="9" t="e">
        <f aca="false">$B$3*D3</f>
        <v>#VALUE!</v>
      </c>
      <c r="O3" s="9" t="e">
        <f aca="false">$B$3*E3</f>
        <v>#VALUE!</v>
      </c>
      <c r="P3" s="9" t="e">
        <f aca="false">$B$3*F3</f>
        <v>#VALUE!</v>
      </c>
      <c r="Q3" s="9" t="e">
        <f aca="false">$B$3*G3</f>
        <v>#VALUE!</v>
      </c>
      <c r="R3" s="9" t="e">
        <f aca="false">$B$3*H3</f>
        <v>#VALUE!</v>
      </c>
    </row>
    <row r="4" customFormat="false" ht="14.25" hidden="false" customHeight="false" outlineLevel="0" collapsed="false">
      <c r="A4" s="4" t="s">
        <v>11</v>
      </c>
      <c r="B4" s="7" t="s">
        <v>12</v>
      </c>
      <c r="D4" s="8" t="n">
        <f aca="false">4*2</f>
        <v>8</v>
      </c>
      <c r="E4" s="8" t="n">
        <f aca="false">4*2</f>
        <v>8</v>
      </c>
      <c r="F4" s="8" t="n">
        <f aca="false">4*2</f>
        <v>8</v>
      </c>
      <c r="G4" s="8" t="n">
        <f aca="false">4*2</f>
        <v>8</v>
      </c>
      <c r="H4" s="8"/>
      <c r="N4" s="9" t="e">
        <f aca="false">$B$4*D4</f>
        <v>#VALUE!</v>
      </c>
      <c r="O4" s="9" t="e">
        <f aca="false">$B$4*E4</f>
        <v>#VALUE!</v>
      </c>
      <c r="P4" s="9" t="e">
        <f aca="false">$B$4*F4</f>
        <v>#VALUE!</v>
      </c>
      <c r="Q4" s="9" t="e">
        <f aca="false">$B$4*G4</f>
        <v>#VALUE!</v>
      </c>
      <c r="R4" s="9" t="e">
        <f aca="false">$B$4*H4</f>
        <v>#VALUE!</v>
      </c>
    </row>
    <row r="5" customFormat="false" ht="14.25" hidden="false" customHeight="false" outlineLevel="0" collapsed="false">
      <c r="A5" s="4" t="s">
        <v>13</v>
      </c>
      <c r="B5" s="7" t="s">
        <v>14</v>
      </c>
      <c r="D5" s="8" t="n">
        <f aca="false">4*3</f>
        <v>12</v>
      </c>
      <c r="E5" s="8" t="n">
        <f aca="false">4*3</f>
        <v>12</v>
      </c>
      <c r="F5" s="8" t="n">
        <f aca="false">4*3</f>
        <v>12</v>
      </c>
      <c r="G5" s="8" t="n">
        <f aca="false">4*3</f>
        <v>12</v>
      </c>
      <c r="H5" s="8"/>
      <c r="N5" s="9" t="e">
        <f aca="false">$B$5*D5</f>
        <v>#VALUE!</v>
      </c>
      <c r="O5" s="9" t="e">
        <f aca="false">$B$5*E5</f>
        <v>#VALUE!</v>
      </c>
      <c r="P5" s="9" t="e">
        <f aca="false">$B$5*F5</f>
        <v>#VALUE!</v>
      </c>
      <c r="Q5" s="9" t="e">
        <f aca="false">$B$5*G5</f>
        <v>#VALUE!</v>
      </c>
      <c r="R5" s="9" t="e">
        <f aca="false">$B$5*H5</f>
        <v>#VALUE!</v>
      </c>
    </row>
    <row r="6" customFormat="false" ht="14.25" hidden="false" customHeight="false" outlineLevel="0" collapsed="false">
      <c r="A6" s="10" t="s">
        <v>15</v>
      </c>
      <c r="B6" s="11" t="s">
        <v>16</v>
      </c>
      <c r="D6" s="12" t="n">
        <v>4</v>
      </c>
      <c r="E6" s="12" t="n">
        <v>4</v>
      </c>
      <c r="F6" s="12" t="n">
        <v>4</v>
      </c>
      <c r="G6" s="12" t="n">
        <v>4</v>
      </c>
      <c r="H6" s="12"/>
      <c r="N6" s="9" t="e">
        <f aca="false">$B$6*D6</f>
        <v>#VALUE!</v>
      </c>
      <c r="O6" s="9" t="e">
        <f aca="false">$B$6*E6</f>
        <v>#VALUE!</v>
      </c>
      <c r="P6" s="9" t="e">
        <f aca="false">$B$6*F6</f>
        <v>#VALUE!</v>
      </c>
      <c r="Q6" s="9" t="e">
        <f aca="false">$B$6*G6</f>
        <v>#VALUE!</v>
      </c>
      <c r="R6" s="9" t="e">
        <f aca="false">$B$6*H6</f>
        <v>#VALUE!</v>
      </c>
    </row>
    <row r="7" customFormat="false" ht="14.25" hidden="false" customHeight="false" outlineLevel="0" collapsed="false">
      <c r="A7" s="4" t="s">
        <v>17</v>
      </c>
      <c r="B7" s="7" t="s">
        <v>18</v>
      </c>
      <c r="D7" s="8" t="n">
        <f aca="false">4*5</f>
        <v>20</v>
      </c>
      <c r="E7" s="8" t="n">
        <f aca="false">4*5</f>
        <v>20</v>
      </c>
      <c r="F7" s="8" t="n">
        <f aca="false">4*5</f>
        <v>20</v>
      </c>
      <c r="G7" s="8" t="n">
        <f aca="false">4*5</f>
        <v>20</v>
      </c>
      <c r="H7" s="8"/>
      <c r="N7" s="9" t="e">
        <f aca="false">$B$7*D7</f>
        <v>#VALUE!</v>
      </c>
      <c r="O7" s="9" t="e">
        <f aca="false">$B$7*E7</f>
        <v>#VALUE!</v>
      </c>
      <c r="P7" s="9" t="e">
        <f aca="false">$B$7*F7</f>
        <v>#VALUE!</v>
      </c>
      <c r="Q7" s="9" t="e">
        <f aca="false">$B$7*G7</f>
        <v>#VALUE!</v>
      </c>
      <c r="R7" s="9" t="e">
        <f aca="false">$B$7*H7</f>
        <v>#VALUE!</v>
      </c>
    </row>
    <row r="8" customFormat="false" ht="14.25" hidden="false" customHeight="false" outlineLevel="0" collapsed="false">
      <c r="A8" s="4" t="s">
        <v>19</v>
      </c>
      <c r="B8" s="7" t="s">
        <v>18</v>
      </c>
      <c r="D8" s="8" t="n">
        <f aca="false">4*5</f>
        <v>20</v>
      </c>
      <c r="E8" s="8" t="n">
        <f aca="false">4*5</f>
        <v>20</v>
      </c>
      <c r="F8" s="8" t="n">
        <f aca="false">2*5</f>
        <v>10</v>
      </c>
      <c r="G8" s="8" t="n">
        <f aca="false">4*5</f>
        <v>20</v>
      </c>
      <c r="H8" s="8"/>
      <c r="N8" s="9" t="e">
        <f aca="false">$B$8*D8</f>
        <v>#VALUE!</v>
      </c>
      <c r="O8" s="9" t="e">
        <f aca="false">$B$8*E8</f>
        <v>#VALUE!</v>
      </c>
      <c r="P8" s="9" t="e">
        <f aca="false">$B$8*F8</f>
        <v>#VALUE!</v>
      </c>
      <c r="Q8" s="9" t="e">
        <f aca="false">$B$8*G8</f>
        <v>#VALUE!</v>
      </c>
      <c r="R8" s="9" t="e">
        <f aca="false">$B$8*H8</f>
        <v>#VALUE!</v>
      </c>
    </row>
    <row r="9" customFormat="false" ht="14.25" hidden="false" customHeight="false" outlineLevel="0" collapsed="false">
      <c r="A9" s="4" t="s">
        <v>20</v>
      </c>
      <c r="B9" s="7" t="s">
        <v>21</v>
      </c>
      <c r="D9" s="8" t="n">
        <f aca="false">4*10</f>
        <v>40</v>
      </c>
      <c r="E9" s="8" t="n">
        <f aca="false">4*10</f>
        <v>40</v>
      </c>
      <c r="F9" s="8" t="n">
        <f aca="false">4*10</f>
        <v>40</v>
      </c>
      <c r="G9" s="8" t="n">
        <f aca="false">4*10</f>
        <v>40</v>
      </c>
      <c r="H9" s="8"/>
      <c r="N9" s="9" t="e">
        <f aca="false">$B$9*D9</f>
        <v>#VALUE!</v>
      </c>
      <c r="O9" s="9" t="e">
        <f aca="false">$B$9*E9</f>
        <v>#VALUE!</v>
      </c>
      <c r="P9" s="9" t="e">
        <f aca="false">$B$9*F9</f>
        <v>#VALUE!</v>
      </c>
      <c r="Q9" s="9" t="e">
        <f aca="false">$B$9*G9</f>
        <v>#VALUE!</v>
      </c>
      <c r="R9" s="9" t="e">
        <f aca="false">$B$9*H9</f>
        <v>#VALUE!</v>
      </c>
    </row>
    <row r="10" customFormat="false" ht="14.25" hidden="false" customHeight="false" outlineLevel="0" collapsed="false">
      <c r="A10" s="4" t="s">
        <v>22</v>
      </c>
      <c r="B10" s="7" t="s">
        <v>23</v>
      </c>
      <c r="D10" s="8" t="n">
        <f aca="false">0*100</f>
        <v>0</v>
      </c>
      <c r="E10" s="8" t="n">
        <f aca="false">5*100</f>
        <v>500</v>
      </c>
      <c r="F10" s="8" t="n">
        <f aca="false">1*100</f>
        <v>100</v>
      </c>
      <c r="G10" s="8" t="n">
        <f aca="false">5*100</f>
        <v>500</v>
      </c>
      <c r="H10" s="8"/>
      <c r="N10" s="9" t="e">
        <f aca="false">$B$10*D10</f>
        <v>#VALUE!</v>
      </c>
      <c r="O10" s="9" t="e">
        <f aca="false">$B$10*E10</f>
        <v>#VALUE!</v>
      </c>
      <c r="P10" s="9" t="e">
        <f aca="false">$B$10*F10</f>
        <v>#VALUE!</v>
      </c>
      <c r="Q10" s="9" t="e">
        <f aca="false">$B$10*G10</f>
        <v>#VALUE!</v>
      </c>
      <c r="R10" s="9" t="e">
        <f aca="false">$B$10*H10</f>
        <v>#VALUE!</v>
      </c>
    </row>
    <row r="11" customFormat="false" ht="14.25" hidden="false" customHeight="false" outlineLevel="0" collapsed="false">
      <c r="A11" s="4" t="s">
        <v>24</v>
      </c>
      <c r="B11" s="7"/>
      <c r="D11" s="13" t="n">
        <f aca="false">SUM(D3:D10)</f>
        <v>109</v>
      </c>
      <c r="E11" s="13" t="n">
        <f aca="false">SUM(E3:E10)</f>
        <v>609</v>
      </c>
      <c r="F11" s="13" t="n">
        <f aca="false">SUM(F3:F10)</f>
        <v>199</v>
      </c>
      <c r="G11" s="13" t="n">
        <f aca="false">SUM(G3:G10)</f>
        <v>609</v>
      </c>
      <c r="H11" s="13" t="n">
        <f aca="false">SUM(H3:H10)</f>
        <v>0</v>
      </c>
      <c r="N11" s="14"/>
      <c r="O11" s="14"/>
      <c r="P11" s="14"/>
      <c r="Q11" s="14"/>
      <c r="R11" s="14"/>
    </row>
    <row r="12" customFormat="false" ht="14.25" hidden="false" customHeight="false" outlineLevel="0" collapsed="false">
      <c r="A12" s="4" t="s">
        <v>25</v>
      </c>
      <c r="B12" s="7"/>
      <c r="C12" s="15"/>
      <c r="D12" s="16" t="n">
        <f aca="false">D11</f>
        <v>109</v>
      </c>
      <c r="E12" s="16" t="n">
        <f aca="false">E11</f>
        <v>609</v>
      </c>
      <c r="F12" s="16" t="n">
        <f aca="false">F11</f>
        <v>199</v>
      </c>
      <c r="G12" s="16" t="n">
        <f aca="false">G11</f>
        <v>609</v>
      </c>
      <c r="H12" s="16" t="n">
        <f aca="false">H11</f>
        <v>0</v>
      </c>
      <c r="N12" s="17" t="e">
        <f aca="false">SUM(N3:N10)</f>
        <v>#VALUE!</v>
      </c>
      <c r="O12" s="17" t="e">
        <f aca="false">SUM(O3:O10)</f>
        <v>#VALUE!</v>
      </c>
      <c r="P12" s="17" t="e">
        <f aca="false">SUM(P3:P10)</f>
        <v>#VALUE!</v>
      </c>
      <c r="Q12" s="17" t="e">
        <f aca="false">SUM(Q3:Q10)</f>
        <v>#VALUE!</v>
      </c>
      <c r="R12" s="17" t="e">
        <f aca="false">SUM(R3:R10)</f>
        <v>#VALUE!</v>
      </c>
    </row>
    <row r="14" customFormat="false" ht="14.25" hidden="false" customHeight="false" outlineLevel="0" collapsed="false">
      <c r="A14" s="18" t="s">
        <v>26</v>
      </c>
    </row>
    <row r="15" customFormat="false" ht="16.4" hidden="false" customHeight="false" outlineLevel="0" collapsed="false">
      <c r="A15" s="19" t="s">
        <v>27</v>
      </c>
      <c r="B15" s="20"/>
      <c r="C15" s="20"/>
      <c r="D15" s="21" t="s">
        <v>28</v>
      </c>
      <c r="E15" s="21"/>
      <c r="F15" s="21"/>
      <c r="G15" s="21"/>
      <c r="H15" s="21"/>
      <c r="I15" s="21"/>
      <c r="K15" s="22" t="s">
        <v>29</v>
      </c>
      <c r="L15" s="23"/>
      <c r="M15" s="23"/>
      <c r="N15" s="24" t="s">
        <v>30</v>
      </c>
      <c r="O15" s="24"/>
      <c r="P15" s="24"/>
      <c r="Q15" s="24"/>
      <c r="R15" s="24"/>
      <c r="S15" s="24"/>
    </row>
    <row r="16" customFormat="false" ht="16.4" hidden="false" customHeight="false" outlineLevel="0" collapsed="false">
      <c r="A16" s="20" t="s">
        <v>31</v>
      </c>
      <c r="B16" s="25" t="s">
        <v>32</v>
      </c>
      <c r="C16" s="20" t="s">
        <v>33</v>
      </c>
      <c r="D16" s="19" t="s">
        <v>4</v>
      </c>
      <c r="E16" s="19" t="s">
        <v>5</v>
      </c>
      <c r="F16" s="19" t="s">
        <v>6</v>
      </c>
      <c r="G16" s="19" t="s">
        <v>7</v>
      </c>
      <c r="H16" s="19" t="s">
        <v>8</v>
      </c>
      <c r="I16" s="19" t="s">
        <v>34</v>
      </c>
      <c r="K16" s="23" t="s">
        <v>31</v>
      </c>
      <c r="L16" s="23" t="s">
        <v>35</v>
      </c>
      <c r="M16" s="23" t="s">
        <v>33</v>
      </c>
      <c r="N16" s="23" t="s">
        <v>4</v>
      </c>
      <c r="O16" s="23" t="s">
        <v>5</v>
      </c>
      <c r="P16" s="23" t="s">
        <v>6</v>
      </c>
      <c r="Q16" s="23" t="s">
        <v>7</v>
      </c>
      <c r="R16" s="23" t="s">
        <v>8</v>
      </c>
      <c r="S16" s="23" t="s">
        <v>36</v>
      </c>
    </row>
    <row r="17" customFormat="false" ht="14.25" hidden="false" customHeight="true" outlineLevel="0" collapsed="false">
      <c r="A17" s="26" t="s">
        <v>37</v>
      </c>
      <c r="B17" s="27" t="s">
        <v>38</v>
      </c>
      <c r="C17" s="20" t="s">
        <v>39</v>
      </c>
      <c r="D17" s="28" t="n">
        <v>10</v>
      </c>
      <c r="E17" s="28" t="n">
        <v>10</v>
      </c>
      <c r="F17" s="28" t="n">
        <v>10</v>
      </c>
      <c r="G17" s="28" t="n">
        <v>10</v>
      </c>
      <c r="H17" s="28" t="n">
        <v>10</v>
      </c>
      <c r="I17" s="20" t="n">
        <f aca="false">SUM(D17:H17)</f>
        <v>50</v>
      </c>
      <c r="K17" s="24" t="s">
        <v>37</v>
      </c>
      <c r="L17" s="29" t="s">
        <v>38</v>
      </c>
      <c r="M17" s="23" t="s">
        <v>39</v>
      </c>
      <c r="N17" s="30" t="e">
        <f aca="false">D17*N$12</f>
        <v>#VALUE!</v>
      </c>
      <c r="O17" s="30" t="e">
        <f aca="false">E17*O$12</f>
        <v>#VALUE!</v>
      </c>
      <c r="P17" s="30" t="e">
        <f aca="false">F17*P$12</f>
        <v>#VALUE!</v>
      </c>
      <c r="Q17" s="30" t="e">
        <f aca="false">G17*Q$12</f>
        <v>#VALUE!</v>
      </c>
      <c r="R17" s="30" t="e">
        <f aca="false">H17*R$12</f>
        <v>#VALUE!</v>
      </c>
      <c r="S17" s="30" t="e">
        <f aca="false">SUM(N17:R17)</f>
        <v>#VALUE!</v>
      </c>
    </row>
    <row r="18" customFormat="false" ht="14.25" hidden="false" customHeight="false" outlineLevel="0" collapsed="false">
      <c r="A18" s="26"/>
      <c r="B18" s="27"/>
      <c r="C18" s="20" t="s">
        <v>40</v>
      </c>
      <c r="D18" s="28" t="n">
        <v>20</v>
      </c>
      <c r="E18" s="28" t="n">
        <v>20</v>
      </c>
      <c r="F18" s="28" t="n">
        <v>20</v>
      </c>
      <c r="G18" s="28" t="n">
        <v>20</v>
      </c>
      <c r="H18" s="28" t="n">
        <v>20</v>
      </c>
      <c r="I18" s="20" t="n">
        <f aca="false">SUM(D18:H18)</f>
        <v>100</v>
      </c>
      <c r="K18" s="24"/>
      <c r="L18" s="29"/>
      <c r="M18" s="23" t="s">
        <v>40</v>
      </c>
      <c r="N18" s="30" t="e">
        <f aca="false">D18*N$12</f>
        <v>#VALUE!</v>
      </c>
      <c r="O18" s="30" t="e">
        <f aca="false">E18*O$12</f>
        <v>#VALUE!</v>
      </c>
      <c r="P18" s="30" t="e">
        <f aca="false">F18*P$12</f>
        <v>#VALUE!</v>
      </c>
      <c r="Q18" s="30" t="e">
        <f aca="false">G18*Q$12</f>
        <v>#VALUE!</v>
      </c>
      <c r="R18" s="30" t="e">
        <f aca="false">H18*R$12</f>
        <v>#VALUE!</v>
      </c>
      <c r="S18" s="30" t="e">
        <f aca="false">SUM(N18:R18)</f>
        <v>#VALUE!</v>
      </c>
    </row>
    <row r="19" customFormat="false" ht="14.25" hidden="false" customHeight="false" outlineLevel="0" collapsed="false">
      <c r="A19" s="26"/>
      <c r="B19" s="27"/>
      <c r="C19" s="20" t="s">
        <v>41</v>
      </c>
      <c r="D19" s="28" t="n">
        <v>30</v>
      </c>
      <c r="E19" s="28" t="n">
        <v>30</v>
      </c>
      <c r="F19" s="28" t="n">
        <v>30</v>
      </c>
      <c r="G19" s="28" t="n">
        <v>30</v>
      </c>
      <c r="H19" s="28" t="n">
        <v>30</v>
      </c>
      <c r="I19" s="20" t="n">
        <f aca="false">SUM(D19:H19)</f>
        <v>150</v>
      </c>
      <c r="K19" s="24"/>
      <c r="L19" s="29"/>
      <c r="M19" s="23" t="s">
        <v>41</v>
      </c>
      <c r="N19" s="30" t="e">
        <f aca="false">D19*N$12</f>
        <v>#VALUE!</v>
      </c>
      <c r="O19" s="30" t="e">
        <f aca="false">E19*O$12</f>
        <v>#VALUE!</v>
      </c>
      <c r="P19" s="30" t="e">
        <f aca="false">F19*P$12</f>
        <v>#VALUE!</v>
      </c>
      <c r="Q19" s="30" t="e">
        <f aca="false">G19*Q$12</f>
        <v>#VALUE!</v>
      </c>
      <c r="R19" s="30" t="e">
        <f aca="false">H19*R$12</f>
        <v>#VALUE!</v>
      </c>
      <c r="S19" s="30" t="e">
        <f aca="false">SUM(N19:R19)</f>
        <v>#VALUE!</v>
      </c>
    </row>
    <row r="20" customFormat="false" ht="14.25" hidden="false" customHeight="true" outlineLevel="0" collapsed="false">
      <c r="A20" s="26"/>
      <c r="B20" s="27" t="s">
        <v>42</v>
      </c>
      <c r="C20" s="20" t="s">
        <v>43</v>
      </c>
      <c r="D20" s="28" t="n">
        <v>10</v>
      </c>
      <c r="E20" s="28" t="n">
        <v>10</v>
      </c>
      <c r="F20" s="28" t="n">
        <v>10</v>
      </c>
      <c r="G20" s="28" t="n">
        <v>10</v>
      </c>
      <c r="H20" s="28" t="n">
        <v>10</v>
      </c>
      <c r="I20" s="20" t="n">
        <f aca="false">SUM(D20:H20)</f>
        <v>50</v>
      </c>
      <c r="K20" s="24"/>
      <c r="L20" s="29" t="s">
        <v>42</v>
      </c>
      <c r="M20" s="23" t="s">
        <v>43</v>
      </c>
      <c r="N20" s="30" t="e">
        <f aca="false">D20*N$12</f>
        <v>#VALUE!</v>
      </c>
      <c r="O20" s="30" t="e">
        <f aca="false">E20*O$12</f>
        <v>#VALUE!</v>
      </c>
      <c r="P20" s="30" t="e">
        <f aca="false">F20*P$12</f>
        <v>#VALUE!</v>
      </c>
      <c r="Q20" s="30" t="e">
        <f aca="false">G20*Q$12</f>
        <v>#VALUE!</v>
      </c>
      <c r="R20" s="30" t="e">
        <f aca="false">H20*R$12</f>
        <v>#VALUE!</v>
      </c>
      <c r="S20" s="30" t="e">
        <f aca="false">SUM(N20:R20)</f>
        <v>#VALUE!</v>
      </c>
    </row>
    <row r="21" customFormat="false" ht="14.25" hidden="false" customHeight="false" outlineLevel="0" collapsed="false">
      <c r="A21" s="26"/>
      <c r="B21" s="27"/>
      <c r="C21" s="20" t="s">
        <v>44</v>
      </c>
      <c r="D21" s="28" t="n">
        <v>20</v>
      </c>
      <c r="E21" s="28" t="n">
        <v>20</v>
      </c>
      <c r="F21" s="28" t="n">
        <v>20</v>
      </c>
      <c r="G21" s="28" t="n">
        <v>20</v>
      </c>
      <c r="H21" s="28" t="n">
        <v>20</v>
      </c>
      <c r="I21" s="20" t="n">
        <f aca="false">SUM(D21:H21)</f>
        <v>100</v>
      </c>
      <c r="K21" s="24"/>
      <c r="L21" s="29"/>
      <c r="M21" s="23" t="s">
        <v>44</v>
      </c>
      <c r="N21" s="30" t="e">
        <f aca="false">D21*N$12</f>
        <v>#VALUE!</v>
      </c>
      <c r="O21" s="30" t="e">
        <f aca="false">E21*O$12</f>
        <v>#VALUE!</v>
      </c>
      <c r="P21" s="30" t="e">
        <f aca="false">F21*P$12</f>
        <v>#VALUE!</v>
      </c>
      <c r="Q21" s="30" t="e">
        <f aca="false">G21*Q$12</f>
        <v>#VALUE!</v>
      </c>
      <c r="R21" s="30" t="e">
        <f aca="false">H21*R$12</f>
        <v>#VALUE!</v>
      </c>
      <c r="S21" s="30" t="e">
        <f aca="false">SUM(N21:R21)</f>
        <v>#VALUE!</v>
      </c>
    </row>
    <row r="22" customFormat="false" ht="14.25" hidden="false" customHeight="false" outlineLevel="0" collapsed="false">
      <c r="A22" s="26"/>
      <c r="B22" s="27"/>
      <c r="C22" s="20" t="s">
        <v>45</v>
      </c>
      <c r="D22" s="28" t="n">
        <v>30</v>
      </c>
      <c r="E22" s="28" t="n">
        <v>30</v>
      </c>
      <c r="F22" s="28" t="n">
        <v>30</v>
      </c>
      <c r="G22" s="28" t="n">
        <v>30</v>
      </c>
      <c r="H22" s="28" t="n">
        <v>30</v>
      </c>
      <c r="I22" s="20" t="n">
        <f aca="false">SUM(D22:H22)</f>
        <v>150</v>
      </c>
      <c r="K22" s="24"/>
      <c r="L22" s="29"/>
      <c r="M22" s="23" t="s">
        <v>45</v>
      </c>
      <c r="N22" s="30" t="e">
        <f aca="false">D22*N$12</f>
        <v>#VALUE!</v>
      </c>
      <c r="O22" s="30" t="e">
        <f aca="false">E22*O$12</f>
        <v>#VALUE!</v>
      </c>
      <c r="P22" s="30" t="e">
        <f aca="false">F22*P$12</f>
        <v>#VALUE!</v>
      </c>
      <c r="Q22" s="30" t="e">
        <f aca="false">G22*Q$12</f>
        <v>#VALUE!</v>
      </c>
      <c r="R22" s="30" t="e">
        <f aca="false">H22*R$12</f>
        <v>#VALUE!</v>
      </c>
      <c r="S22" s="30" t="e">
        <f aca="false">SUM(N22:R22)</f>
        <v>#VALUE!</v>
      </c>
    </row>
    <row r="23" customFormat="false" ht="14.25" hidden="false" customHeight="true" outlineLevel="0" collapsed="false">
      <c r="A23" s="26"/>
      <c r="B23" s="27" t="s">
        <v>46</v>
      </c>
      <c r="C23" s="20" t="s">
        <v>47</v>
      </c>
      <c r="D23" s="28" t="n">
        <v>10</v>
      </c>
      <c r="E23" s="28" t="n">
        <v>10</v>
      </c>
      <c r="F23" s="28" t="n">
        <v>10</v>
      </c>
      <c r="G23" s="28" t="n">
        <v>10</v>
      </c>
      <c r="H23" s="28" t="n">
        <v>10</v>
      </c>
      <c r="I23" s="20" t="n">
        <f aca="false">SUM(D23:H23)</f>
        <v>50</v>
      </c>
      <c r="K23" s="24"/>
      <c r="L23" s="29" t="s">
        <v>46</v>
      </c>
      <c r="M23" s="23" t="s">
        <v>47</v>
      </c>
      <c r="N23" s="30" t="e">
        <f aca="false">D23*N$12</f>
        <v>#VALUE!</v>
      </c>
      <c r="O23" s="30" t="e">
        <f aca="false">E23*O$12</f>
        <v>#VALUE!</v>
      </c>
      <c r="P23" s="30" t="e">
        <f aca="false">F23*P$12</f>
        <v>#VALUE!</v>
      </c>
      <c r="Q23" s="30" t="e">
        <f aca="false">G23*Q$12</f>
        <v>#VALUE!</v>
      </c>
      <c r="R23" s="30" t="e">
        <f aca="false">H23*R$12</f>
        <v>#VALUE!</v>
      </c>
      <c r="S23" s="30" t="e">
        <f aca="false">SUM(N23:R23)</f>
        <v>#VALUE!</v>
      </c>
    </row>
    <row r="24" customFormat="false" ht="14.25" hidden="false" customHeight="false" outlineLevel="0" collapsed="false">
      <c r="A24" s="26"/>
      <c r="B24" s="27"/>
      <c r="C24" s="20" t="s">
        <v>48</v>
      </c>
      <c r="D24" s="28" t="n">
        <v>20</v>
      </c>
      <c r="E24" s="28" t="n">
        <v>20</v>
      </c>
      <c r="F24" s="28" t="n">
        <v>20</v>
      </c>
      <c r="G24" s="28" t="n">
        <v>20</v>
      </c>
      <c r="H24" s="28" t="n">
        <v>20</v>
      </c>
      <c r="I24" s="20" t="n">
        <f aca="false">SUM(D24:H24)</f>
        <v>100</v>
      </c>
      <c r="K24" s="24"/>
      <c r="L24" s="29"/>
      <c r="M24" s="23" t="s">
        <v>48</v>
      </c>
      <c r="N24" s="30" t="e">
        <f aca="false">D24*N$12</f>
        <v>#VALUE!</v>
      </c>
      <c r="O24" s="30" t="e">
        <f aca="false">E24*O$12</f>
        <v>#VALUE!</v>
      </c>
      <c r="P24" s="30" t="e">
        <f aca="false">F24*P$12</f>
        <v>#VALUE!</v>
      </c>
      <c r="Q24" s="30" t="e">
        <f aca="false">G24*Q$12</f>
        <v>#VALUE!</v>
      </c>
      <c r="R24" s="30" t="e">
        <f aca="false">H24*R$12</f>
        <v>#VALUE!</v>
      </c>
      <c r="S24" s="30" t="e">
        <f aca="false">SUM(N24:R24)</f>
        <v>#VALUE!</v>
      </c>
    </row>
    <row r="25" customFormat="false" ht="14.25" hidden="false" customHeight="false" outlineLevel="0" collapsed="false">
      <c r="A25" s="26"/>
      <c r="B25" s="27"/>
      <c r="C25" s="20" t="s">
        <v>49</v>
      </c>
      <c r="D25" s="28" t="n">
        <v>30</v>
      </c>
      <c r="E25" s="28" t="n">
        <v>30</v>
      </c>
      <c r="F25" s="28" t="n">
        <v>30</v>
      </c>
      <c r="G25" s="28" t="n">
        <v>30</v>
      </c>
      <c r="H25" s="28" t="n">
        <v>30</v>
      </c>
      <c r="I25" s="20" t="n">
        <f aca="false">SUM(D25:H25)</f>
        <v>150</v>
      </c>
      <c r="K25" s="24"/>
      <c r="L25" s="29"/>
      <c r="M25" s="23" t="s">
        <v>49</v>
      </c>
      <c r="N25" s="30" t="e">
        <f aca="false">D25*N$12</f>
        <v>#VALUE!</v>
      </c>
      <c r="O25" s="30" t="e">
        <f aca="false">E25*O$12</f>
        <v>#VALUE!</v>
      </c>
      <c r="P25" s="30" t="e">
        <f aca="false">F25*P$12</f>
        <v>#VALUE!</v>
      </c>
      <c r="Q25" s="30" t="e">
        <f aca="false">G25*Q$12</f>
        <v>#VALUE!</v>
      </c>
      <c r="R25" s="30" t="e">
        <f aca="false">H25*R$12</f>
        <v>#VALUE!</v>
      </c>
      <c r="S25" s="30" t="e">
        <f aca="false">SUM(N25:R25)</f>
        <v>#VALUE!</v>
      </c>
    </row>
    <row r="26" customFormat="false" ht="14.25" hidden="false" customHeight="false" outlineLevel="0" collapsed="false">
      <c r="A26" s="20" t="s">
        <v>50</v>
      </c>
      <c r="B26" s="20"/>
      <c r="C26" s="20"/>
      <c r="D26" s="20" t="n">
        <f aca="false">SUM(D17:D25)</f>
        <v>180</v>
      </c>
      <c r="E26" s="20" t="n">
        <f aca="false">SUM(E17:E25)</f>
        <v>180</v>
      </c>
      <c r="F26" s="20" t="n">
        <f aca="false">SUM(F17:F25)</f>
        <v>180</v>
      </c>
      <c r="G26" s="20" t="n">
        <f aca="false">SUM(G17:G25)</f>
        <v>180</v>
      </c>
      <c r="H26" s="20" t="n">
        <f aca="false">SUM(H17:H25)</f>
        <v>180</v>
      </c>
      <c r="I26" s="31" t="n">
        <f aca="false">SUM(I17:I25)</f>
        <v>900</v>
      </c>
      <c r="K26" s="23" t="s">
        <v>50</v>
      </c>
      <c r="L26" s="23"/>
      <c r="M26" s="23"/>
      <c r="N26" s="30" t="e">
        <f aca="false">SUM(N17:N25)</f>
        <v>#VALUE!</v>
      </c>
      <c r="O26" s="30" t="e">
        <f aca="false">SUM(O17:O25)</f>
        <v>#VALUE!</v>
      </c>
      <c r="P26" s="30" t="e">
        <f aca="false">SUM(P17:P25)</f>
        <v>#VALUE!</v>
      </c>
      <c r="Q26" s="30" t="e">
        <f aca="false">SUM(Q17:Q25)</f>
        <v>#VALUE!</v>
      </c>
      <c r="R26" s="30" t="e">
        <f aca="false">SUM(R17:R25)</f>
        <v>#VALUE!</v>
      </c>
      <c r="S26" s="32" t="e">
        <f aca="false">SUM(S17:S25)</f>
        <v>#VALUE!</v>
      </c>
    </row>
    <row r="27" customFormat="false" ht="14.25" hidden="false" customHeight="true" outlineLevel="0" collapsed="false">
      <c r="A27" s="26" t="s">
        <v>51</v>
      </c>
      <c r="B27" s="27" t="s">
        <v>38</v>
      </c>
      <c r="C27" s="20" t="s">
        <v>39</v>
      </c>
      <c r="D27" s="28" t="n">
        <v>10</v>
      </c>
      <c r="E27" s="28" t="n">
        <v>10</v>
      </c>
      <c r="F27" s="28" t="n">
        <v>10</v>
      </c>
      <c r="G27" s="28" t="n">
        <v>10</v>
      </c>
      <c r="H27" s="28" t="n">
        <v>10</v>
      </c>
      <c r="I27" s="20" t="n">
        <f aca="false">SUM(D27:H27)</f>
        <v>50</v>
      </c>
      <c r="K27" s="24" t="s">
        <v>51</v>
      </c>
      <c r="L27" s="29" t="s">
        <v>38</v>
      </c>
      <c r="M27" s="23" t="s">
        <v>39</v>
      </c>
      <c r="N27" s="30" t="e">
        <f aca="false">D27*N$12</f>
        <v>#VALUE!</v>
      </c>
      <c r="O27" s="30" t="e">
        <f aca="false">E27*O$12</f>
        <v>#VALUE!</v>
      </c>
      <c r="P27" s="30" t="e">
        <f aca="false">F27*P$12</f>
        <v>#VALUE!</v>
      </c>
      <c r="Q27" s="30" t="e">
        <f aca="false">G27*Q$12</f>
        <v>#VALUE!</v>
      </c>
      <c r="R27" s="30" t="e">
        <f aca="false">H27*R$12</f>
        <v>#VALUE!</v>
      </c>
      <c r="S27" s="30" t="e">
        <f aca="false">SUM(N27:R27)</f>
        <v>#VALUE!</v>
      </c>
    </row>
    <row r="28" customFormat="false" ht="14.25" hidden="false" customHeight="false" outlineLevel="0" collapsed="false">
      <c r="A28" s="26"/>
      <c r="B28" s="27"/>
      <c r="C28" s="20" t="s">
        <v>40</v>
      </c>
      <c r="D28" s="28" t="n">
        <v>20</v>
      </c>
      <c r="E28" s="28" t="n">
        <v>20</v>
      </c>
      <c r="F28" s="28" t="n">
        <v>20</v>
      </c>
      <c r="G28" s="28" t="n">
        <v>20</v>
      </c>
      <c r="H28" s="28" t="n">
        <v>20</v>
      </c>
      <c r="I28" s="20" t="n">
        <f aca="false">SUM(D28:H28)</f>
        <v>100</v>
      </c>
      <c r="K28" s="24"/>
      <c r="L28" s="29"/>
      <c r="M28" s="23" t="s">
        <v>40</v>
      </c>
      <c r="N28" s="30" t="e">
        <f aca="false">D28*N$12</f>
        <v>#VALUE!</v>
      </c>
      <c r="O28" s="30" t="e">
        <f aca="false">E28*O$12</f>
        <v>#VALUE!</v>
      </c>
      <c r="P28" s="30" t="e">
        <f aca="false">F28*P$12</f>
        <v>#VALUE!</v>
      </c>
      <c r="Q28" s="30" t="e">
        <f aca="false">G28*Q$12</f>
        <v>#VALUE!</v>
      </c>
      <c r="R28" s="30" t="e">
        <f aca="false">H28*R$12</f>
        <v>#VALUE!</v>
      </c>
      <c r="S28" s="30" t="e">
        <f aca="false">SUM(N28:R28)</f>
        <v>#VALUE!</v>
      </c>
    </row>
    <row r="29" customFormat="false" ht="14.25" hidden="false" customHeight="false" outlineLevel="0" collapsed="false">
      <c r="A29" s="26"/>
      <c r="B29" s="27"/>
      <c r="C29" s="20" t="s">
        <v>41</v>
      </c>
      <c r="D29" s="28" t="n">
        <v>30</v>
      </c>
      <c r="E29" s="28" t="n">
        <v>30</v>
      </c>
      <c r="F29" s="28" t="n">
        <v>30</v>
      </c>
      <c r="G29" s="28" t="n">
        <v>30</v>
      </c>
      <c r="H29" s="28" t="n">
        <v>30</v>
      </c>
      <c r="I29" s="20" t="n">
        <f aca="false">SUM(D29:H29)</f>
        <v>150</v>
      </c>
      <c r="K29" s="24"/>
      <c r="L29" s="29"/>
      <c r="M29" s="23" t="s">
        <v>41</v>
      </c>
      <c r="N29" s="30" t="e">
        <f aca="false">D29*N$12</f>
        <v>#VALUE!</v>
      </c>
      <c r="O29" s="30" t="e">
        <f aca="false">E29*O$12</f>
        <v>#VALUE!</v>
      </c>
      <c r="P29" s="30" t="e">
        <f aca="false">F29*P$12</f>
        <v>#VALUE!</v>
      </c>
      <c r="Q29" s="30" t="e">
        <f aca="false">G29*Q$12</f>
        <v>#VALUE!</v>
      </c>
      <c r="R29" s="30" t="e">
        <f aca="false">H29*R$12</f>
        <v>#VALUE!</v>
      </c>
      <c r="S29" s="30" t="e">
        <f aca="false">SUM(N29:R29)</f>
        <v>#VALUE!</v>
      </c>
    </row>
    <row r="30" customFormat="false" ht="14.25" hidden="false" customHeight="true" outlineLevel="0" collapsed="false">
      <c r="A30" s="26"/>
      <c r="B30" s="27" t="s">
        <v>42</v>
      </c>
      <c r="C30" s="20" t="s">
        <v>43</v>
      </c>
      <c r="D30" s="28" t="n">
        <v>10</v>
      </c>
      <c r="E30" s="28" t="n">
        <v>10</v>
      </c>
      <c r="F30" s="28" t="n">
        <v>10</v>
      </c>
      <c r="G30" s="28" t="n">
        <v>10</v>
      </c>
      <c r="H30" s="28" t="n">
        <v>10</v>
      </c>
      <c r="I30" s="20" t="n">
        <f aca="false">SUM(D30:H30)</f>
        <v>50</v>
      </c>
      <c r="K30" s="24"/>
      <c r="L30" s="29" t="s">
        <v>42</v>
      </c>
      <c r="M30" s="23" t="s">
        <v>43</v>
      </c>
      <c r="N30" s="30" t="e">
        <f aca="false">D30*N$12</f>
        <v>#VALUE!</v>
      </c>
      <c r="O30" s="30" t="e">
        <f aca="false">E30*O$12</f>
        <v>#VALUE!</v>
      </c>
      <c r="P30" s="30" t="e">
        <f aca="false">F30*P$12</f>
        <v>#VALUE!</v>
      </c>
      <c r="Q30" s="30" t="e">
        <f aca="false">G30*Q$12</f>
        <v>#VALUE!</v>
      </c>
      <c r="R30" s="30" t="e">
        <f aca="false">H30*R$12</f>
        <v>#VALUE!</v>
      </c>
      <c r="S30" s="30" t="e">
        <f aca="false">SUM(N30:R30)</f>
        <v>#VALUE!</v>
      </c>
    </row>
    <row r="31" customFormat="false" ht="14.25" hidden="false" customHeight="false" outlineLevel="0" collapsed="false">
      <c r="A31" s="26"/>
      <c r="B31" s="27"/>
      <c r="C31" s="20" t="s">
        <v>44</v>
      </c>
      <c r="D31" s="28" t="n">
        <v>20</v>
      </c>
      <c r="E31" s="28" t="n">
        <v>20</v>
      </c>
      <c r="F31" s="28" t="n">
        <v>20</v>
      </c>
      <c r="G31" s="28" t="n">
        <v>20</v>
      </c>
      <c r="H31" s="28" t="n">
        <v>20</v>
      </c>
      <c r="I31" s="20" t="n">
        <f aca="false">SUM(D31:H31)</f>
        <v>100</v>
      </c>
      <c r="K31" s="24"/>
      <c r="L31" s="29"/>
      <c r="M31" s="23" t="s">
        <v>44</v>
      </c>
      <c r="N31" s="30" t="e">
        <f aca="false">D31*N$12</f>
        <v>#VALUE!</v>
      </c>
      <c r="O31" s="30" t="e">
        <f aca="false">E31*O$12</f>
        <v>#VALUE!</v>
      </c>
      <c r="P31" s="30" t="e">
        <f aca="false">F31*P$12</f>
        <v>#VALUE!</v>
      </c>
      <c r="Q31" s="30" t="e">
        <f aca="false">G31*Q$12</f>
        <v>#VALUE!</v>
      </c>
      <c r="R31" s="30" t="e">
        <f aca="false">H31*R$12</f>
        <v>#VALUE!</v>
      </c>
      <c r="S31" s="30" t="e">
        <f aca="false">SUM(N31:R31)</f>
        <v>#VALUE!</v>
      </c>
    </row>
    <row r="32" customFormat="false" ht="14.25" hidden="false" customHeight="false" outlineLevel="0" collapsed="false">
      <c r="A32" s="26"/>
      <c r="B32" s="27"/>
      <c r="C32" s="20" t="s">
        <v>45</v>
      </c>
      <c r="D32" s="28" t="n">
        <v>30</v>
      </c>
      <c r="E32" s="28" t="n">
        <v>30</v>
      </c>
      <c r="F32" s="28" t="n">
        <v>30</v>
      </c>
      <c r="G32" s="28" t="n">
        <v>30</v>
      </c>
      <c r="H32" s="28" t="n">
        <v>30</v>
      </c>
      <c r="I32" s="20" t="n">
        <f aca="false">SUM(D32:H32)</f>
        <v>150</v>
      </c>
      <c r="K32" s="24"/>
      <c r="L32" s="29"/>
      <c r="M32" s="23" t="s">
        <v>45</v>
      </c>
      <c r="N32" s="30" t="e">
        <f aca="false">D32*N$12</f>
        <v>#VALUE!</v>
      </c>
      <c r="O32" s="30" t="e">
        <f aca="false">E32*O$12</f>
        <v>#VALUE!</v>
      </c>
      <c r="P32" s="30" t="e">
        <f aca="false">F32*P$12</f>
        <v>#VALUE!</v>
      </c>
      <c r="Q32" s="30" t="e">
        <f aca="false">G32*Q$12</f>
        <v>#VALUE!</v>
      </c>
      <c r="R32" s="30" t="e">
        <f aca="false">H32*R$12</f>
        <v>#VALUE!</v>
      </c>
      <c r="S32" s="30" t="e">
        <f aca="false">SUM(N32:R32)</f>
        <v>#VALUE!</v>
      </c>
    </row>
    <row r="33" customFormat="false" ht="14.25" hidden="false" customHeight="true" outlineLevel="0" collapsed="false">
      <c r="A33" s="26"/>
      <c r="B33" s="27" t="s">
        <v>46</v>
      </c>
      <c r="C33" s="20" t="s">
        <v>47</v>
      </c>
      <c r="D33" s="28" t="n">
        <v>10</v>
      </c>
      <c r="E33" s="28" t="n">
        <v>10</v>
      </c>
      <c r="F33" s="28" t="n">
        <v>10</v>
      </c>
      <c r="G33" s="28" t="n">
        <v>10</v>
      </c>
      <c r="H33" s="28" t="n">
        <v>10</v>
      </c>
      <c r="I33" s="20" t="n">
        <f aca="false">SUM(D33:H33)</f>
        <v>50</v>
      </c>
      <c r="K33" s="24"/>
      <c r="L33" s="29" t="s">
        <v>46</v>
      </c>
      <c r="M33" s="23" t="s">
        <v>47</v>
      </c>
      <c r="N33" s="30" t="e">
        <f aca="false">D33*N$12</f>
        <v>#VALUE!</v>
      </c>
      <c r="O33" s="30" t="e">
        <f aca="false">E33*O$12</f>
        <v>#VALUE!</v>
      </c>
      <c r="P33" s="30" t="e">
        <f aca="false">F33*P$12</f>
        <v>#VALUE!</v>
      </c>
      <c r="Q33" s="30" t="e">
        <f aca="false">G33*Q$12</f>
        <v>#VALUE!</v>
      </c>
      <c r="R33" s="30" t="e">
        <f aca="false">H33*R$12</f>
        <v>#VALUE!</v>
      </c>
      <c r="S33" s="30" t="e">
        <f aca="false">SUM(N33:R33)</f>
        <v>#VALUE!</v>
      </c>
    </row>
    <row r="34" customFormat="false" ht="14.25" hidden="false" customHeight="false" outlineLevel="0" collapsed="false">
      <c r="A34" s="26"/>
      <c r="B34" s="27"/>
      <c r="C34" s="20" t="s">
        <v>48</v>
      </c>
      <c r="D34" s="28" t="n">
        <v>20</v>
      </c>
      <c r="E34" s="28" t="n">
        <v>20</v>
      </c>
      <c r="F34" s="28" t="n">
        <v>20</v>
      </c>
      <c r="G34" s="28" t="n">
        <v>20</v>
      </c>
      <c r="H34" s="28" t="n">
        <v>20</v>
      </c>
      <c r="I34" s="20" t="n">
        <f aca="false">SUM(D34:H34)</f>
        <v>100</v>
      </c>
      <c r="K34" s="24"/>
      <c r="L34" s="29"/>
      <c r="M34" s="23" t="s">
        <v>48</v>
      </c>
      <c r="N34" s="30" t="e">
        <f aca="false">D34*N$12</f>
        <v>#VALUE!</v>
      </c>
      <c r="O34" s="30" t="e">
        <f aca="false">E34*O$12</f>
        <v>#VALUE!</v>
      </c>
      <c r="P34" s="30" t="e">
        <f aca="false">F34*P$12</f>
        <v>#VALUE!</v>
      </c>
      <c r="Q34" s="30" t="e">
        <f aca="false">G34*Q$12</f>
        <v>#VALUE!</v>
      </c>
      <c r="R34" s="30" t="e">
        <f aca="false">H34*R$12</f>
        <v>#VALUE!</v>
      </c>
      <c r="S34" s="30" t="e">
        <f aca="false">SUM(N34:R34)</f>
        <v>#VALUE!</v>
      </c>
    </row>
    <row r="35" customFormat="false" ht="14.25" hidden="false" customHeight="false" outlineLevel="0" collapsed="false">
      <c r="A35" s="26"/>
      <c r="B35" s="27"/>
      <c r="C35" s="20" t="s">
        <v>49</v>
      </c>
      <c r="D35" s="28" t="n">
        <v>30</v>
      </c>
      <c r="E35" s="28" t="n">
        <v>30</v>
      </c>
      <c r="F35" s="28" t="n">
        <v>30</v>
      </c>
      <c r="G35" s="28" t="n">
        <v>30</v>
      </c>
      <c r="H35" s="28" t="n">
        <v>30</v>
      </c>
      <c r="I35" s="20" t="n">
        <f aca="false">SUM(D35:H35)</f>
        <v>150</v>
      </c>
      <c r="K35" s="24"/>
      <c r="L35" s="29"/>
      <c r="M35" s="23" t="s">
        <v>49</v>
      </c>
      <c r="N35" s="30" t="e">
        <f aca="false">D35*N$12</f>
        <v>#VALUE!</v>
      </c>
      <c r="O35" s="30" t="e">
        <f aca="false">E35*O$12</f>
        <v>#VALUE!</v>
      </c>
      <c r="P35" s="30" t="e">
        <f aca="false">F35*P$12</f>
        <v>#VALUE!</v>
      </c>
      <c r="Q35" s="30" t="e">
        <f aca="false">G35*Q$12</f>
        <v>#VALUE!</v>
      </c>
      <c r="R35" s="30" t="e">
        <f aca="false">H35*R$12</f>
        <v>#VALUE!</v>
      </c>
      <c r="S35" s="30" t="e">
        <f aca="false">SUM(N35:R35)</f>
        <v>#VALUE!</v>
      </c>
    </row>
    <row r="36" customFormat="false" ht="14.25" hidden="false" customHeight="false" outlineLevel="0" collapsed="false">
      <c r="A36" s="20" t="s">
        <v>52</v>
      </c>
      <c r="B36" s="20"/>
      <c r="C36" s="20"/>
      <c r="D36" s="20" t="n">
        <f aca="false">SUM(D27:D35)</f>
        <v>180</v>
      </c>
      <c r="E36" s="20" t="n">
        <f aca="false">SUM(E27:E35)</f>
        <v>180</v>
      </c>
      <c r="F36" s="20" t="n">
        <f aca="false">SUM(F27:F35)</f>
        <v>180</v>
      </c>
      <c r="G36" s="20" t="n">
        <f aca="false">SUM(G27:G35)</f>
        <v>180</v>
      </c>
      <c r="H36" s="20" t="n">
        <f aca="false">SUM(H27:H35)</f>
        <v>180</v>
      </c>
      <c r="I36" s="31" t="n">
        <f aca="false">SUM(I27:I35)</f>
        <v>900</v>
      </c>
      <c r="K36" s="23" t="s">
        <v>52</v>
      </c>
      <c r="L36" s="23"/>
      <c r="M36" s="23"/>
      <c r="N36" s="30" t="e">
        <f aca="false">SUM(N27:N35)</f>
        <v>#VALUE!</v>
      </c>
      <c r="O36" s="30" t="e">
        <f aca="false">SUM(O27:O35)</f>
        <v>#VALUE!</v>
      </c>
      <c r="P36" s="30" t="e">
        <f aca="false">SUM(P27:P35)</f>
        <v>#VALUE!</v>
      </c>
      <c r="Q36" s="30" t="e">
        <f aca="false">SUM(Q27:Q35)</f>
        <v>#VALUE!</v>
      </c>
      <c r="R36" s="30" t="e">
        <f aca="false">SUM(R27:R35)</f>
        <v>#VALUE!</v>
      </c>
      <c r="S36" s="32" t="e">
        <f aca="false">SUM(S27:S35)</f>
        <v>#VALUE!</v>
      </c>
    </row>
    <row r="37" customFormat="false" ht="14.25" hidden="false" customHeight="true" outlineLevel="0" collapsed="false">
      <c r="A37" s="26" t="s">
        <v>53</v>
      </c>
      <c r="B37" s="27" t="s">
        <v>38</v>
      </c>
      <c r="C37" s="20" t="s">
        <v>39</v>
      </c>
      <c r="D37" s="28" t="n">
        <v>10</v>
      </c>
      <c r="E37" s="28" t="n">
        <v>10</v>
      </c>
      <c r="F37" s="28" t="n">
        <v>10</v>
      </c>
      <c r="G37" s="28" t="n">
        <v>10</v>
      </c>
      <c r="H37" s="28" t="n">
        <v>10</v>
      </c>
      <c r="I37" s="20" t="n">
        <f aca="false">SUM(D37:H37)</f>
        <v>50</v>
      </c>
      <c r="K37" s="24" t="s">
        <v>53</v>
      </c>
      <c r="L37" s="29" t="s">
        <v>38</v>
      </c>
      <c r="M37" s="23" t="s">
        <v>39</v>
      </c>
      <c r="N37" s="30" t="e">
        <f aca="false">D37*N$12</f>
        <v>#VALUE!</v>
      </c>
      <c r="O37" s="30" t="e">
        <f aca="false">E37*O$12</f>
        <v>#VALUE!</v>
      </c>
      <c r="P37" s="30" t="e">
        <f aca="false">F37*P$12</f>
        <v>#VALUE!</v>
      </c>
      <c r="Q37" s="30" t="e">
        <f aca="false">G37*Q$12</f>
        <v>#VALUE!</v>
      </c>
      <c r="R37" s="30" t="e">
        <f aca="false">H37*R$12</f>
        <v>#VALUE!</v>
      </c>
      <c r="S37" s="30" t="e">
        <f aca="false">SUM(N37:R37)</f>
        <v>#VALUE!</v>
      </c>
    </row>
    <row r="38" customFormat="false" ht="14.25" hidden="false" customHeight="false" outlineLevel="0" collapsed="false">
      <c r="A38" s="26"/>
      <c r="B38" s="27"/>
      <c r="C38" s="20" t="s">
        <v>40</v>
      </c>
      <c r="D38" s="28" t="n">
        <v>20</v>
      </c>
      <c r="E38" s="28" t="n">
        <v>20</v>
      </c>
      <c r="F38" s="28" t="n">
        <v>20</v>
      </c>
      <c r="G38" s="28" t="n">
        <v>20</v>
      </c>
      <c r="H38" s="28" t="n">
        <v>20</v>
      </c>
      <c r="I38" s="20" t="n">
        <f aca="false">SUM(D38:H38)</f>
        <v>100</v>
      </c>
      <c r="K38" s="24"/>
      <c r="L38" s="29"/>
      <c r="M38" s="23" t="s">
        <v>40</v>
      </c>
      <c r="N38" s="30" t="e">
        <f aca="false">D38*N$12</f>
        <v>#VALUE!</v>
      </c>
      <c r="O38" s="30" t="e">
        <f aca="false">E38*O$12</f>
        <v>#VALUE!</v>
      </c>
      <c r="P38" s="30" t="e">
        <f aca="false">F38*P$12</f>
        <v>#VALUE!</v>
      </c>
      <c r="Q38" s="30" t="e">
        <f aca="false">G38*Q$12</f>
        <v>#VALUE!</v>
      </c>
      <c r="R38" s="30" t="e">
        <f aca="false">H38*R$12</f>
        <v>#VALUE!</v>
      </c>
      <c r="S38" s="30" t="e">
        <f aca="false">SUM(N38:R38)</f>
        <v>#VALUE!</v>
      </c>
    </row>
    <row r="39" customFormat="false" ht="14.25" hidden="false" customHeight="false" outlineLevel="0" collapsed="false">
      <c r="A39" s="26"/>
      <c r="B39" s="27"/>
      <c r="C39" s="20" t="s">
        <v>41</v>
      </c>
      <c r="D39" s="28" t="n">
        <v>30</v>
      </c>
      <c r="E39" s="28" t="n">
        <v>30</v>
      </c>
      <c r="F39" s="28" t="n">
        <v>30</v>
      </c>
      <c r="G39" s="28" t="n">
        <v>30</v>
      </c>
      <c r="H39" s="28" t="n">
        <v>30</v>
      </c>
      <c r="I39" s="20" t="n">
        <f aca="false">SUM(D39:H39)</f>
        <v>150</v>
      </c>
      <c r="K39" s="24"/>
      <c r="L39" s="29"/>
      <c r="M39" s="23" t="s">
        <v>41</v>
      </c>
      <c r="N39" s="30" t="e">
        <f aca="false">D39*N$12</f>
        <v>#VALUE!</v>
      </c>
      <c r="O39" s="30" t="e">
        <f aca="false">E39*O$12</f>
        <v>#VALUE!</v>
      </c>
      <c r="P39" s="30" t="e">
        <f aca="false">F39*P$12</f>
        <v>#VALUE!</v>
      </c>
      <c r="Q39" s="30" t="e">
        <f aca="false">G39*Q$12</f>
        <v>#VALUE!</v>
      </c>
      <c r="R39" s="30" t="e">
        <f aca="false">H39*R$12</f>
        <v>#VALUE!</v>
      </c>
      <c r="S39" s="30" t="e">
        <f aca="false">SUM(N39:R39)</f>
        <v>#VALUE!</v>
      </c>
    </row>
    <row r="40" customFormat="false" ht="14.25" hidden="false" customHeight="true" outlineLevel="0" collapsed="false">
      <c r="A40" s="26"/>
      <c r="B40" s="27" t="s">
        <v>42</v>
      </c>
      <c r="C40" s="20" t="s">
        <v>43</v>
      </c>
      <c r="D40" s="28" t="n">
        <v>10</v>
      </c>
      <c r="E40" s="28" t="n">
        <v>10</v>
      </c>
      <c r="F40" s="28" t="n">
        <v>10</v>
      </c>
      <c r="G40" s="28" t="n">
        <v>10</v>
      </c>
      <c r="H40" s="28" t="n">
        <v>10</v>
      </c>
      <c r="I40" s="20" t="n">
        <f aca="false">SUM(D40:H40)</f>
        <v>50</v>
      </c>
      <c r="K40" s="24"/>
      <c r="L40" s="29" t="s">
        <v>42</v>
      </c>
      <c r="M40" s="23" t="s">
        <v>43</v>
      </c>
      <c r="N40" s="30" t="e">
        <f aca="false">D40*N$12</f>
        <v>#VALUE!</v>
      </c>
      <c r="O40" s="30" t="e">
        <f aca="false">E40*O$12</f>
        <v>#VALUE!</v>
      </c>
      <c r="P40" s="30" t="e">
        <f aca="false">F40*P$12</f>
        <v>#VALUE!</v>
      </c>
      <c r="Q40" s="30" t="e">
        <f aca="false">G40*Q$12</f>
        <v>#VALUE!</v>
      </c>
      <c r="R40" s="30" t="e">
        <f aca="false">H40*R$12</f>
        <v>#VALUE!</v>
      </c>
      <c r="S40" s="30" t="e">
        <f aca="false">SUM(N40:R40)</f>
        <v>#VALUE!</v>
      </c>
    </row>
    <row r="41" customFormat="false" ht="14.25" hidden="false" customHeight="false" outlineLevel="0" collapsed="false">
      <c r="A41" s="26"/>
      <c r="B41" s="27"/>
      <c r="C41" s="20" t="s">
        <v>44</v>
      </c>
      <c r="D41" s="28" t="n">
        <v>20</v>
      </c>
      <c r="E41" s="28" t="n">
        <v>20</v>
      </c>
      <c r="F41" s="28" t="n">
        <v>20</v>
      </c>
      <c r="G41" s="28" t="n">
        <v>20</v>
      </c>
      <c r="H41" s="28" t="n">
        <v>20</v>
      </c>
      <c r="I41" s="20" t="n">
        <f aca="false">SUM(D41:H41)</f>
        <v>100</v>
      </c>
      <c r="K41" s="24"/>
      <c r="L41" s="29"/>
      <c r="M41" s="23" t="s">
        <v>44</v>
      </c>
      <c r="N41" s="30" t="e">
        <f aca="false">D41*N$12</f>
        <v>#VALUE!</v>
      </c>
      <c r="O41" s="30" t="e">
        <f aca="false">E41*O$12</f>
        <v>#VALUE!</v>
      </c>
      <c r="P41" s="30" t="e">
        <f aca="false">F41*P$12</f>
        <v>#VALUE!</v>
      </c>
      <c r="Q41" s="30" t="e">
        <f aca="false">G41*Q$12</f>
        <v>#VALUE!</v>
      </c>
      <c r="R41" s="30" t="e">
        <f aca="false">H41*R$12</f>
        <v>#VALUE!</v>
      </c>
      <c r="S41" s="30" t="e">
        <f aca="false">SUM(N41:R41)</f>
        <v>#VALUE!</v>
      </c>
    </row>
    <row r="42" customFormat="false" ht="14.25" hidden="false" customHeight="false" outlineLevel="0" collapsed="false">
      <c r="A42" s="26"/>
      <c r="B42" s="27"/>
      <c r="C42" s="20" t="s">
        <v>45</v>
      </c>
      <c r="D42" s="28" t="n">
        <v>30</v>
      </c>
      <c r="E42" s="28" t="n">
        <v>30</v>
      </c>
      <c r="F42" s="28" t="n">
        <v>30</v>
      </c>
      <c r="G42" s="28" t="n">
        <v>30</v>
      </c>
      <c r="H42" s="28" t="n">
        <v>30</v>
      </c>
      <c r="I42" s="20" t="n">
        <f aca="false">SUM(D42:H42)</f>
        <v>150</v>
      </c>
      <c r="K42" s="24"/>
      <c r="L42" s="29"/>
      <c r="M42" s="23" t="s">
        <v>45</v>
      </c>
      <c r="N42" s="30" t="e">
        <f aca="false">D42*N$12</f>
        <v>#VALUE!</v>
      </c>
      <c r="O42" s="30" t="e">
        <f aca="false">E42*O$12</f>
        <v>#VALUE!</v>
      </c>
      <c r="P42" s="30" t="e">
        <f aca="false">F42*P$12</f>
        <v>#VALUE!</v>
      </c>
      <c r="Q42" s="30" t="e">
        <f aca="false">G42*Q$12</f>
        <v>#VALUE!</v>
      </c>
      <c r="R42" s="30" t="e">
        <f aca="false">H42*R$12</f>
        <v>#VALUE!</v>
      </c>
      <c r="S42" s="30" t="e">
        <f aca="false">SUM(N42:R42)</f>
        <v>#VALUE!</v>
      </c>
    </row>
    <row r="43" customFormat="false" ht="14.25" hidden="false" customHeight="true" outlineLevel="0" collapsed="false">
      <c r="A43" s="26"/>
      <c r="B43" s="27" t="s">
        <v>46</v>
      </c>
      <c r="C43" s="20" t="s">
        <v>47</v>
      </c>
      <c r="D43" s="28" t="n">
        <v>10</v>
      </c>
      <c r="E43" s="28" t="n">
        <v>10</v>
      </c>
      <c r="F43" s="28" t="n">
        <v>10</v>
      </c>
      <c r="G43" s="28" t="n">
        <v>10</v>
      </c>
      <c r="H43" s="28" t="n">
        <v>10</v>
      </c>
      <c r="I43" s="20" t="n">
        <f aca="false">SUM(D43:H43)</f>
        <v>50</v>
      </c>
      <c r="K43" s="24"/>
      <c r="L43" s="29" t="s">
        <v>46</v>
      </c>
      <c r="M43" s="23" t="s">
        <v>47</v>
      </c>
      <c r="N43" s="30" t="e">
        <f aca="false">D43*N$12</f>
        <v>#VALUE!</v>
      </c>
      <c r="O43" s="30" t="e">
        <f aca="false">E43*O$12</f>
        <v>#VALUE!</v>
      </c>
      <c r="P43" s="30" t="e">
        <f aca="false">F43*P$12</f>
        <v>#VALUE!</v>
      </c>
      <c r="Q43" s="30" t="e">
        <f aca="false">G43*Q$12</f>
        <v>#VALUE!</v>
      </c>
      <c r="R43" s="30" t="e">
        <f aca="false">H43*R$12</f>
        <v>#VALUE!</v>
      </c>
      <c r="S43" s="30" t="e">
        <f aca="false">SUM(N43:R43)</f>
        <v>#VALUE!</v>
      </c>
    </row>
    <row r="44" customFormat="false" ht="14.25" hidden="false" customHeight="false" outlineLevel="0" collapsed="false">
      <c r="A44" s="26"/>
      <c r="B44" s="27"/>
      <c r="C44" s="20" t="s">
        <v>48</v>
      </c>
      <c r="D44" s="28" t="n">
        <v>20</v>
      </c>
      <c r="E44" s="28" t="n">
        <v>20</v>
      </c>
      <c r="F44" s="28" t="n">
        <v>20</v>
      </c>
      <c r="G44" s="28" t="n">
        <v>20</v>
      </c>
      <c r="H44" s="28" t="n">
        <v>20</v>
      </c>
      <c r="I44" s="20" t="n">
        <f aca="false">SUM(D44:H44)</f>
        <v>100</v>
      </c>
      <c r="K44" s="24"/>
      <c r="L44" s="29"/>
      <c r="M44" s="23" t="s">
        <v>48</v>
      </c>
      <c r="N44" s="30" t="e">
        <f aca="false">D44*N$12</f>
        <v>#VALUE!</v>
      </c>
      <c r="O44" s="30" t="e">
        <f aca="false">E44*O$12</f>
        <v>#VALUE!</v>
      </c>
      <c r="P44" s="30" t="e">
        <f aca="false">F44*P$12</f>
        <v>#VALUE!</v>
      </c>
      <c r="Q44" s="30" t="e">
        <f aca="false">G44*Q$12</f>
        <v>#VALUE!</v>
      </c>
      <c r="R44" s="30" t="e">
        <f aca="false">H44*R$12</f>
        <v>#VALUE!</v>
      </c>
      <c r="S44" s="30" t="e">
        <f aca="false">SUM(N44:R44)</f>
        <v>#VALUE!</v>
      </c>
    </row>
    <row r="45" customFormat="false" ht="14.25" hidden="false" customHeight="false" outlineLevel="0" collapsed="false">
      <c r="A45" s="26"/>
      <c r="B45" s="27"/>
      <c r="C45" s="20" t="s">
        <v>49</v>
      </c>
      <c r="D45" s="28" t="n">
        <v>30</v>
      </c>
      <c r="E45" s="28" t="n">
        <v>30</v>
      </c>
      <c r="F45" s="28" t="n">
        <v>30</v>
      </c>
      <c r="G45" s="28" t="n">
        <v>30</v>
      </c>
      <c r="H45" s="28" t="n">
        <v>30</v>
      </c>
      <c r="I45" s="20" t="n">
        <f aca="false">SUM(D45:H45)</f>
        <v>150</v>
      </c>
      <c r="K45" s="24"/>
      <c r="L45" s="29"/>
      <c r="M45" s="23" t="s">
        <v>49</v>
      </c>
      <c r="N45" s="30" t="e">
        <f aca="false">D45*N$12</f>
        <v>#VALUE!</v>
      </c>
      <c r="O45" s="30" t="e">
        <f aca="false">E45*O$12</f>
        <v>#VALUE!</v>
      </c>
      <c r="P45" s="30" t="e">
        <f aca="false">F45*P$12</f>
        <v>#VALUE!</v>
      </c>
      <c r="Q45" s="30" t="e">
        <f aca="false">G45*Q$12</f>
        <v>#VALUE!</v>
      </c>
      <c r="R45" s="30" t="e">
        <f aca="false">H45*R$12</f>
        <v>#VALUE!</v>
      </c>
      <c r="S45" s="30" t="e">
        <f aca="false">SUM(N45:R45)</f>
        <v>#VALUE!</v>
      </c>
    </row>
    <row r="46" customFormat="false" ht="14.25" hidden="false" customHeight="false" outlineLevel="0" collapsed="false">
      <c r="A46" s="20" t="s">
        <v>54</v>
      </c>
      <c r="B46" s="20"/>
      <c r="C46" s="20"/>
      <c r="D46" s="20" t="n">
        <f aca="false">SUM(D37:D45)</f>
        <v>180</v>
      </c>
      <c r="E46" s="20" t="n">
        <f aca="false">SUM(E37:E45)</f>
        <v>180</v>
      </c>
      <c r="F46" s="20" t="n">
        <f aca="false">SUM(F37:F45)</f>
        <v>180</v>
      </c>
      <c r="G46" s="20" t="n">
        <f aca="false">SUM(G37:G45)</f>
        <v>180</v>
      </c>
      <c r="H46" s="20" t="n">
        <f aca="false">SUM(H37:H45)</f>
        <v>180</v>
      </c>
      <c r="I46" s="31" t="n">
        <f aca="false">SUM(I37:I45)</f>
        <v>900</v>
      </c>
      <c r="K46" s="23" t="s">
        <v>54</v>
      </c>
      <c r="L46" s="23"/>
      <c r="M46" s="23"/>
      <c r="N46" s="30" t="e">
        <f aca="false">SUM(N37:N45)</f>
        <v>#VALUE!</v>
      </c>
      <c r="O46" s="30" t="e">
        <f aca="false">SUM(O37:O45)</f>
        <v>#VALUE!</v>
      </c>
      <c r="P46" s="30" t="e">
        <f aca="false">SUM(P37:P45)</f>
        <v>#VALUE!</v>
      </c>
      <c r="Q46" s="30" t="e">
        <f aca="false">SUM(Q37:Q45)</f>
        <v>#VALUE!</v>
      </c>
      <c r="R46" s="30" t="e">
        <f aca="false">SUM(R37:R45)</f>
        <v>#VALUE!</v>
      </c>
      <c r="S46" s="32" t="e">
        <f aca="false">SUM(S37:S45)</f>
        <v>#VALUE!</v>
      </c>
    </row>
    <row r="47" customFormat="false" ht="19.7" hidden="false" customHeight="false" outlineLevel="0" collapsed="false">
      <c r="A47" s="31" t="s">
        <v>55</v>
      </c>
      <c r="B47" s="31"/>
      <c r="C47" s="31"/>
      <c r="D47" s="33" t="n">
        <f aca="false">D26+D36+D46</f>
        <v>540</v>
      </c>
      <c r="E47" s="33" t="n">
        <f aca="false">E26+E36+E46</f>
        <v>540</v>
      </c>
      <c r="F47" s="33" t="n">
        <f aca="false">F26+F36+F46</f>
        <v>540</v>
      </c>
      <c r="G47" s="33" t="n">
        <f aca="false">G26+G36+G46</f>
        <v>540</v>
      </c>
      <c r="H47" s="33" t="n">
        <f aca="false">H26+H36+H46</f>
        <v>540</v>
      </c>
      <c r="I47" s="34" t="n">
        <f aca="false">I26+I36+I46</f>
        <v>2700</v>
      </c>
      <c r="K47" s="22" t="s">
        <v>36</v>
      </c>
      <c r="L47" s="22"/>
      <c r="M47" s="22"/>
      <c r="N47" s="35" t="e">
        <f aca="false">N26+N36+N46</f>
        <v>#VALUE!</v>
      </c>
      <c r="O47" s="35" t="e">
        <f aca="false">O26+O36+O46</f>
        <v>#VALUE!</v>
      </c>
      <c r="P47" s="35" t="e">
        <f aca="false">P26+P36+P46</f>
        <v>#VALUE!</v>
      </c>
      <c r="Q47" s="35" t="e">
        <f aca="false">Q26+Q36+Q46</f>
        <v>#VALUE!</v>
      </c>
      <c r="R47" s="35" t="e">
        <f aca="false">R26+R36+R46</f>
        <v>#VALUE!</v>
      </c>
      <c r="S47" s="36" t="e">
        <f aca="false">S26+S36+S46</f>
        <v>#VALUE!</v>
      </c>
    </row>
  </sheetData>
  <mergeCells count="28">
    <mergeCell ref="D1:H1"/>
    <mergeCell ref="N1:R1"/>
    <mergeCell ref="D15:I15"/>
    <mergeCell ref="N15:S15"/>
    <mergeCell ref="A17:A25"/>
    <mergeCell ref="B17:B19"/>
    <mergeCell ref="K17:K25"/>
    <mergeCell ref="L17:L19"/>
    <mergeCell ref="B20:B22"/>
    <mergeCell ref="L20:L22"/>
    <mergeCell ref="B23:B25"/>
    <mergeCell ref="L23:L25"/>
    <mergeCell ref="A27:A35"/>
    <mergeCell ref="B27:B29"/>
    <mergeCell ref="K27:K35"/>
    <mergeCell ref="L27:L29"/>
    <mergeCell ref="B30:B32"/>
    <mergeCell ref="L30:L32"/>
    <mergeCell ref="B33:B35"/>
    <mergeCell ref="L33:L35"/>
    <mergeCell ref="A37:A45"/>
    <mergeCell ref="B37:B39"/>
    <mergeCell ref="K37:K45"/>
    <mergeCell ref="L37:L39"/>
    <mergeCell ref="B40:B42"/>
    <mergeCell ref="L40:L42"/>
    <mergeCell ref="B43:B45"/>
    <mergeCell ref="L43:L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B9" activeCellId="0" sqref="B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8.27"/>
    <col collapsed="false" customWidth="true" hidden="false" outlineLevel="0" max="2" min="2" style="0" width="48.45"/>
    <col collapsed="false" customWidth="true" hidden="false" outlineLevel="0" max="5" min="5" style="0" width="52.18"/>
    <col collapsed="false" customWidth="true" hidden="false" outlineLevel="0" max="6" min="6" style="0" width="14.45"/>
    <col collapsed="false" customWidth="true" hidden="false" outlineLevel="0" max="7" min="7" style="0" width="21.82"/>
    <col collapsed="false" customWidth="true" hidden="false" outlineLevel="0" max="8" min="8" style="0" width="16.73"/>
    <col collapsed="false" customWidth="true" hidden="false" outlineLevel="0" max="9" min="9" style="0" width="17.45"/>
    <col collapsed="false" customWidth="true" hidden="false" outlineLevel="0" max="18" min="10" style="0" width="9.27"/>
    <col collapsed="false" customWidth="true" hidden="false" outlineLevel="0" max="19" min="19" style="0" width="10.27"/>
  </cols>
  <sheetData>
    <row r="1" customFormat="false" ht="14.25" hidden="false" customHeight="false" outlineLevel="0" collapsed="false">
      <c r="A1" s="37" t="s">
        <v>56</v>
      </c>
      <c r="B1" s="38" t="s">
        <v>57</v>
      </c>
      <c r="F1" s="39" t="s">
        <v>58</v>
      </c>
    </row>
    <row r="2" customFormat="false" ht="14.25" hidden="false" customHeight="false" outlineLevel="0" collapsed="false">
      <c r="A2" s="37"/>
      <c r="B2" s="40" t="s">
        <v>4</v>
      </c>
      <c r="E2" s="39" t="s">
        <v>59</v>
      </c>
      <c r="F2" s="39" t="s">
        <v>56</v>
      </c>
      <c r="G2" s="39" t="s">
        <v>60</v>
      </c>
    </row>
    <row r="3" customFormat="false" ht="14.25" hidden="false" customHeight="false" outlineLevel="0" collapsed="false">
      <c r="A3" s="37"/>
      <c r="B3" s="40" t="s">
        <v>5</v>
      </c>
      <c r="E3" s="39" t="s">
        <v>61</v>
      </c>
      <c r="F3" s="39" t="s">
        <v>62</v>
      </c>
      <c r="G3" s="39" t="s">
        <v>63</v>
      </c>
      <c r="I3" s="39" t="s">
        <v>64</v>
      </c>
      <c r="J3" s="39" t="s">
        <v>65</v>
      </c>
      <c r="K3" s="39" t="s">
        <v>66</v>
      </c>
    </row>
    <row r="4" customFormat="false" ht="14.25" hidden="false" customHeight="false" outlineLevel="0" collapsed="false">
      <c r="A4" s="37"/>
      <c r="B4" s="40" t="s">
        <v>6</v>
      </c>
      <c r="F4" s="39" t="s">
        <v>67</v>
      </c>
      <c r="G4" s="39" t="s">
        <v>68</v>
      </c>
      <c r="I4" s="39" t="s">
        <v>64</v>
      </c>
    </row>
    <row r="5" customFormat="false" ht="14.25" hidden="false" customHeight="false" outlineLevel="0" collapsed="false">
      <c r="A5" s="37"/>
      <c r="B5" s="40" t="s">
        <v>7</v>
      </c>
      <c r="F5" s="39" t="s">
        <v>69</v>
      </c>
      <c r="G5" s="39" t="s">
        <v>70</v>
      </c>
      <c r="I5" s="39" t="s">
        <v>64</v>
      </c>
    </row>
    <row r="6" customFormat="false" ht="14.25" hidden="false" customHeight="false" outlineLevel="0" collapsed="false">
      <c r="A6" s="37"/>
      <c r="B6" s="40"/>
      <c r="F6" s="39" t="s">
        <v>71</v>
      </c>
      <c r="G6" s="39" t="s">
        <v>72</v>
      </c>
    </row>
    <row r="7" customFormat="false" ht="14.25" hidden="false" customHeight="false" outlineLevel="0" collapsed="false">
      <c r="A7" s="37"/>
      <c r="B7" s="40"/>
      <c r="F7" s="39" t="s">
        <v>73</v>
      </c>
      <c r="G7" s="39" t="s">
        <v>74</v>
      </c>
    </row>
    <row r="8" customFormat="false" ht="14.25" hidden="false" customHeight="false" outlineLevel="0" collapsed="false">
      <c r="A8" s="41"/>
      <c r="F8" s="39" t="s">
        <v>75</v>
      </c>
      <c r="G8" s="39" t="s">
        <v>76</v>
      </c>
    </row>
    <row r="9" customFormat="false" ht="14.25" hidden="false" customHeight="false" outlineLevel="0" collapsed="false">
      <c r="A9" s="37" t="s">
        <v>62</v>
      </c>
      <c r="B9" s="38" t="s">
        <v>77</v>
      </c>
      <c r="E9" s="39" t="s">
        <v>78</v>
      </c>
      <c r="F9" s="39" t="s">
        <v>79</v>
      </c>
      <c r="G9" s="39" t="s">
        <v>80</v>
      </c>
      <c r="H9" s="39" t="s">
        <v>81</v>
      </c>
    </row>
    <row r="10" customFormat="false" ht="14.25" hidden="false" customHeight="false" outlineLevel="0" collapsed="false">
      <c r="A10" s="37"/>
      <c r="B10" s="40" t="s">
        <v>9</v>
      </c>
      <c r="F10" s="39" t="s">
        <v>82</v>
      </c>
      <c r="G10" s="39" t="s">
        <v>83</v>
      </c>
    </row>
    <row r="11" customFormat="false" ht="14.25" hidden="false" customHeight="false" outlineLevel="0" collapsed="false">
      <c r="A11" s="37"/>
      <c r="B11" s="40" t="s">
        <v>11</v>
      </c>
      <c r="F11" s="39" t="s">
        <v>84</v>
      </c>
      <c r="G11" s="39" t="s">
        <v>85</v>
      </c>
    </row>
    <row r="12" customFormat="false" ht="14.25" hidden="false" customHeight="false" outlineLevel="0" collapsed="false">
      <c r="A12" s="37"/>
      <c r="B12" s="40" t="s">
        <v>13</v>
      </c>
      <c r="F12" s="39" t="s">
        <v>86</v>
      </c>
      <c r="G12" s="39" t="s">
        <v>87</v>
      </c>
      <c r="H12" s="42" t="s">
        <v>29</v>
      </c>
      <c r="I12" s="42" t="s">
        <v>88</v>
      </c>
      <c r="J12" s="42" t="s">
        <v>89</v>
      </c>
      <c r="K12" s="42" t="s">
        <v>90</v>
      </c>
      <c r="L12" s="42" t="s">
        <v>91</v>
      </c>
      <c r="M12" s="42" t="s">
        <v>92</v>
      </c>
      <c r="N12" s="42" t="s">
        <v>93</v>
      </c>
    </row>
    <row r="13" customFormat="false" ht="14.25" hidden="false" customHeight="false" outlineLevel="0" collapsed="false">
      <c r="A13" s="37"/>
      <c r="B13" s="40" t="s">
        <v>15</v>
      </c>
      <c r="G13" s="39" t="s">
        <v>29</v>
      </c>
    </row>
    <row r="14" customFormat="false" ht="14.25" hidden="false" customHeight="false" outlineLevel="0" collapsed="false">
      <c r="A14" s="37"/>
      <c r="B14" s="40" t="s">
        <v>17</v>
      </c>
    </row>
    <row r="15" customFormat="false" ht="14.25" hidden="false" customHeight="false" outlineLevel="0" collapsed="false">
      <c r="A15" s="37"/>
      <c r="B15" s="40" t="s">
        <v>19</v>
      </c>
      <c r="E15" s="39" t="s">
        <v>94</v>
      </c>
    </row>
    <row r="16" customFormat="false" ht="14.25" hidden="false" customHeight="false" outlineLevel="0" collapsed="false">
      <c r="A16" s="37"/>
      <c r="B16" s="40" t="s">
        <v>20</v>
      </c>
    </row>
    <row r="17" customFormat="false" ht="14.25" hidden="false" customHeight="false" outlineLevel="0" collapsed="false">
      <c r="A17" s="37"/>
      <c r="B17" s="40" t="s">
        <v>22</v>
      </c>
      <c r="I17" s="39" t="s">
        <v>95</v>
      </c>
      <c r="J17" s="39" t="s">
        <v>96</v>
      </c>
      <c r="K17" s="39" t="s">
        <v>97</v>
      </c>
      <c r="L17" s="39" t="s">
        <v>98</v>
      </c>
      <c r="M17" s="39" t="s">
        <v>99</v>
      </c>
      <c r="N17" s="39" t="s">
        <v>100</v>
      </c>
      <c r="O17" s="39" t="s">
        <v>101</v>
      </c>
      <c r="P17" s="39" t="s">
        <v>102</v>
      </c>
      <c r="Q17" s="39" t="s">
        <v>103</v>
      </c>
      <c r="R17" s="39" t="s">
        <v>104</v>
      </c>
      <c r="S17" s="39" t="s">
        <v>105</v>
      </c>
    </row>
    <row r="18" customFormat="false" ht="14.25" hidden="false" customHeight="false" outlineLevel="0" collapsed="false">
      <c r="A18" s="37"/>
      <c r="B18" s="40" t="s">
        <v>24</v>
      </c>
      <c r="H18" s="39" t="s">
        <v>106</v>
      </c>
      <c r="I18" s="0" t="n">
        <v>0</v>
      </c>
      <c r="J18" s="0" t="n">
        <v>10</v>
      </c>
      <c r="K18" s="0" t="n">
        <v>20</v>
      </c>
      <c r="L18" s="0" t="n">
        <v>30</v>
      </c>
      <c r="M18" s="0" t="n">
        <v>40</v>
      </c>
      <c r="N18" s="0" t="n">
        <v>50</v>
      </c>
      <c r="O18" s="0" t="n">
        <v>60</v>
      </c>
      <c r="P18" s="0" t="n">
        <v>70</v>
      </c>
      <c r="Q18" s="0" t="n">
        <v>80</v>
      </c>
      <c r="R18" s="0" t="n">
        <v>90</v>
      </c>
      <c r="S18" s="0" t="n">
        <v>100</v>
      </c>
    </row>
    <row r="19" customFormat="false" ht="14.25" hidden="false" customHeight="false" outlineLevel="0" collapsed="false">
      <c r="A19" s="37"/>
      <c r="B19" s="40" t="s">
        <v>25</v>
      </c>
      <c r="I19" s="39" t="s">
        <v>60</v>
      </c>
      <c r="J19" s="39" t="s">
        <v>60</v>
      </c>
      <c r="K19" s="39" t="s">
        <v>60</v>
      </c>
      <c r="L19" s="39" t="s">
        <v>60</v>
      </c>
      <c r="M19" s="39" t="s">
        <v>60</v>
      </c>
      <c r="N19" s="39" t="s">
        <v>60</v>
      </c>
      <c r="O19" s="39" t="s">
        <v>60</v>
      </c>
      <c r="P19" s="39" t="s">
        <v>60</v>
      </c>
      <c r="Q19" s="39" t="s">
        <v>60</v>
      </c>
      <c r="R19" s="39" t="s">
        <v>60</v>
      </c>
      <c r="S19" s="39" t="s">
        <v>60</v>
      </c>
    </row>
    <row r="20" customFormat="false" ht="4.5" hidden="false" customHeight="true" outlineLevel="0" collapsed="false">
      <c r="A20" s="41"/>
    </row>
    <row r="21" customFormat="false" ht="14.25" hidden="false" customHeight="false" outlineLevel="0" collapsed="false">
      <c r="A21" s="37" t="s">
        <v>67</v>
      </c>
      <c r="B21" s="38" t="s">
        <v>107</v>
      </c>
      <c r="E21" s="39" t="s">
        <v>108</v>
      </c>
      <c r="F21" s="39" t="s">
        <v>109</v>
      </c>
    </row>
    <row r="22" customFormat="false" ht="14.25" hidden="false" customHeight="false" outlineLevel="0" collapsed="false">
      <c r="A22" s="37"/>
      <c r="B22" s="40" t="s">
        <v>110</v>
      </c>
      <c r="F22" s="39" t="s">
        <v>109</v>
      </c>
    </row>
    <row r="23" customFormat="false" ht="14.25" hidden="false" customHeight="false" outlineLevel="0" collapsed="false">
      <c r="A23" s="37"/>
      <c r="B23" s="40" t="s">
        <v>111</v>
      </c>
    </row>
    <row r="24" customFormat="false" ht="14.25" hidden="false" customHeight="false" outlineLevel="0" collapsed="false">
      <c r="A24" s="43" t="s">
        <v>112</v>
      </c>
      <c r="B24" s="38" t="s">
        <v>113</v>
      </c>
    </row>
    <row r="25" customFormat="false" ht="14.25" hidden="false" customHeight="false" outlineLevel="0" collapsed="false">
      <c r="A25" s="43"/>
      <c r="B25" s="39" t="s">
        <v>29</v>
      </c>
      <c r="F25" s="39" t="s">
        <v>64</v>
      </c>
    </row>
    <row r="26" customFormat="false" ht="14.25" hidden="false" customHeight="false" outlineLevel="0" collapsed="false">
      <c r="A26" s="43"/>
      <c r="B26" s="39" t="s">
        <v>92</v>
      </c>
    </row>
    <row r="27" customFormat="false" ht="14.25" hidden="false" customHeight="false" outlineLevel="0" collapsed="false">
      <c r="A27" s="43"/>
      <c r="B27" s="39" t="s">
        <v>114</v>
      </c>
    </row>
    <row r="28" customFormat="false" ht="4.5" hidden="false" customHeight="true" outlineLevel="0" collapsed="false">
      <c r="A28" s="41"/>
    </row>
    <row r="29" customFormat="false" ht="14.25" hidden="false" customHeight="false" outlineLevel="0" collapsed="false">
      <c r="A29" s="44" t="s">
        <v>71</v>
      </c>
      <c r="B29" s="38" t="s">
        <v>115</v>
      </c>
    </row>
    <row r="30" customFormat="false" ht="4.5" hidden="false" customHeight="true" outlineLevel="0" collapsed="false">
      <c r="A30" s="41"/>
    </row>
    <row r="31" customFormat="false" ht="14.25" hidden="false" customHeight="false" outlineLevel="0" collapsed="false">
      <c r="A31" s="44" t="s">
        <v>73</v>
      </c>
      <c r="B31" s="38" t="s">
        <v>116</v>
      </c>
    </row>
    <row r="32" customFormat="false" ht="4.5" hidden="false" customHeight="true" outlineLevel="0" collapsed="false">
      <c r="A32" s="41"/>
    </row>
    <row r="33" customFormat="false" ht="14.25" hidden="false" customHeight="false" outlineLevel="0" collapsed="false">
      <c r="A33" s="37" t="s">
        <v>75</v>
      </c>
      <c r="B33" s="38" t="s">
        <v>117</v>
      </c>
    </row>
    <row r="34" customFormat="false" ht="14.25" hidden="false" customHeight="false" outlineLevel="0" collapsed="false">
      <c r="A34" s="37"/>
      <c r="B34" s="40" t="s">
        <v>118</v>
      </c>
    </row>
    <row r="35" customFormat="false" ht="14.25" hidden="false" customHeight="false" outlineLevel="0" collapsed="false">
      <c r="A35" s="37"/>
      <c r="B35" s="40" t="s">
        <v>119</v>
      </c>
    </row>
    <row r="36" customFormat="false" ht="14.25" hidden="false" customHeight="false" outlineLevel="0" collapsed="false">
      <c r="A36" s="37"/>
      <c r="B36" s="40" t="s">
        <v>120</v>
      </c>
    </row>
    <row r="37" customFormat="false" ht="14.25" hidden="false" customHeight="false" outlineLevel="0" collapsed="false">
      <c r="A37" s="37"/>
      <c r="B37" s="40" t="s">
        <v>121</v>
      </c>
    </row>
    <row r="38" customFormat="false" ht="14.25" hidden="false" customHeight="false" outlineLevel="0" collapsed="false">
      <c r="A38" s="37"/>
      <c r="B38" s="40" t="s">
        <v>122</v>
      </c>
    </row>
    <row r="39" customFormat="false" ht="14.25" hidden="false" customHeight="false" outlineLevel="0" collapsed="false">
      <c r="A39" s="37"/>
      <c r="B39" s="40" t="s">
        <v>123</v>
      </c>
    </row>
    <row r="40" customFormat="false" ht="14.25" hidden="false" customHeight="false" outlineLevel="0" collapsed="false">
      <c r="A40" s="37"/>
      <c r="B40" s="40" t="s">
        <v>124</v>
      </c>
    </row>
  </sheetData>
  <mergeCells count="5">
    <mergeCell ref="A1:A7"/>
    <mergeCell ref="A9:A19"/>
    <mergeCell ref="A21:A23"/>
    <mergeCell ref="A24:A27"/>
    <mergeCell ref="A33:A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88"/>
  <sheetViews>
    <sheetView showFormulas="false" showGridLines="true" showRowColHeaders="true" showZeros="true" rightToLeft="false" tabSelected="false" showOutlineSymbols="true" defaultGridColor="true" view="normal" topLeftCell="A163" colorId="64" zoomScale="50" zoomScaleNormal="50" zoomScalePageLayoutView="100" workbookViewId="0">
      <selection pane="topLeft" activeCell="B188" activeCellId="0" sqref="B188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47.73"/>
    <col collapsed="false" customWidth="true" hidden="false" outlineLevel="0" max="3" min="3" style="0" width="53.45"/>
    <col collapsed="false" customWidth="true" hidden="false" outlineLevel="0" max="4" min="4" style="0" width="64.82"/>
    <col collapsed="false" customWidth="true" hidden="false" outlineLevel="0" max="5" min="5" style="0" width="38.09"/>
    <col collapsed="false" customWidth="true" hidden="false" outlineLevel="0" max="6" min="6" style="0" width="26.45"/>
    <col collapsed="false" customWidth="true" hidden="false" outlineLevel="0" max="7" min="7" style="0" width="32.63"/>
    <col collapsed="false" customWidth="true" hidden="false" outlineLevel="0" max="8" min="8" style="0" width="37.63"/>
    <col collapsed="false" customWidth="true" hidden="false" outlineLevel="0" max="9" min="9" style="0" width="23.64"/>
    <col collapsed="false" customWidth="true" hidden="false" outlineLevel="0" max="10" min="10" style="0" width="17.73"/>
  </cols>
  <sheetData>
    <row r="1" customFormat="false" ht="14.25" hidden="false" customHeight="false" outlineLevel="0" collapsed="false">
      <c r="B1" s="45" t="s">
        <v>125</v>
      </c>
      <c r="C1" s="45" t="s">
        <v>126</v>
      </c>
    </row>
    <row r="2" customFormat="false" ht="14.25" hidden="false" customHeight="false" outlineLevel="0" collapsed="false">
      <c r="B2" s="46" t="s">
        <v>127</v>
      </c>
      <c r="C2" s="46" t="s">
        <v>128</v>
      </c>
    </row>
    <row r="3" customFormat="false" ht="14.25" hidden="false" customHeight="false" outlineLevel="0" collapsed="false">
      <c r="B3" s="40" t="s">
        <v>129</v>
      </c>
      <c r="C3" s="40"/>
    </row>
    <row r="4" customFormat="false" ht="14.25" hidden="false" customHeight="false" outlineLevel="0" collapsed="false">
      <c r="B4" s="47" t="s">
        <v>130</v>
      </c>
      <c r="C4" s="46" t="s">
        <v>131</v>
      </c>
    </row>
    <row r="5" customFormat="false" ht="14.25" hidden="false" customHeight="false" outlineLevel="0" collapsed="false">
      <c r="B5" s="40" t="s">
        <v>132</v>
      </c>
      <c r="C5" s="40"/>
    </row>
    <row r="8" customFormat="false" ht="14.25" hidden="false" customHeight="false" outlineLevel="0" collapsed="false">
      <c r="B8" s="48" t="s">
        <v>127</v>
      </c>
      <c r="C8" s="46" t="s">
        <v>128</v>
      </c>
      <c r="D8" s="40"/>
      <c r="E8" s="40"/>
      <c r="F8" s="40"/>
      <c r="G8" s="40"/>
    </row>
    <row r="9" customFormat="false" ht="14.25" hidden="false" customHeight="false" outlineLevel="0" collapsed="false">
      <c r="B9" s="48" t="s">
        <v>133</v>
      </c>
      <c r="C9" s="40"/>
      <c r="D9" s="40"/>
      <c r="E9" s="40"/>
      <c r="F9" s="40"/>
      <c r="G9" s="40"/>
    </row>
    <row r="10" customFormat="false" ht="14.25" hidden="false" customHeight="false" outlineLevel="0" collapsed="false">
      <c r="B10" s="49" t="s">
        <v>134</v>
      </c>
      <c r="C10" s="50"/>
      <c r="D10" s="51"/>
      <c r="E10" s="51"/>
      <c r="F10" s="52"/>
      <c r="G10" s="52"/>
      <c r="H10" s="52"/>
      <c r="I10" s="52"/>
      <c r="J10" s="52"/>
      <c r="K10" s="52"/>
      <c r="L10" s="52"/>
      <c r="M10" s="52"/>
      <c r="N10" s="52"/>
      <c r="O10" s="52"/>
    </row>
    <row r="11" customFormat="false" ht="14.25" hidden="false" customHeight="false" outlineLevel="0" collapsed="false">
      <c r="B11" s="49"/>
      <c r="C11" s="53" t="s">
        <v>135</v>
      </c>
      <c r="D11" s="54"/>
      <c r="E11" s="54" t="s">
        <v>136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</row>
    <row r="12" customFormat="false" ht="14.25" hidden="false" customHeight="false" outlineLevel="0" collapsed="false">
      <c r="B12" s="49"/>
      <c r="C12" s="53" t="s">
        <v>137</v>
      </c>
      <c r="D12" s="54"/>
      <c r="E12" s="54" t="s">
        <v>138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</row>
    <row r="13" customFormat="false" ht="16.4" hidden="false" customHeight="false" outlineLevel="0" collapsed="false">
      <c r="B13" s="49"/>
      <c r="C13" s="55" t="s">
        <v>139</v>
      </c>
      <c r="D13" s="54"/>
      <c r="E13" s="54" t="s">
        <v>140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</row>
    <row r="14" customFormat="false" ht="31.3" hidden="false" customHeight="false" outlineLevel="0" collapsed="false">
      <c r="B14" s="49"/>
      <c r="C14" s="55" t="s">
        <v>141</v>
      </c>
      <c r="D14" s="54"/>
      <c r="E14" s="54" t="s">
        <v>142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</row>
    <row r="15" customFormat="false" ht="16.4" hidden="false" customHeight="false" outlineLevel="0" collapsed="false">
      <c r="B15" s="49"/>
      <c r="C15" s="55" t="s">
        <v>143</v>
      </c>
      <c r="D15" s="54"/>
      <c r="E15" s="56" t="s">
        <v>144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</row>
    <row r="16" customFormat="false" ht="16.4" hidden="false" customHeight="false" outlineLevel="0" collapsed="false">
      <c r="B16" s="49"/>
      <c r="C16" s="55" t="s">
        <v>145</v>
      </c>
      <c r="D16" s="54"/>
      <c r="E16" s="56" t="s">
        <v>146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</row>
    <row r="17" customFormat="false" ht="16.4" hidden="false" customHeight="false" outlineLevel="0" collapsed="false">
      <c r="B17" s="49"/>
      <c r="C17" s="55" t="s">
        <v>147</v>
      </c>
      <c r="D17" s="54"/>
      <c r="E17" s="56" t="s">
        <v>148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</row>
    <row r="18" customFormat="false" ht="14.25" hidden="false" customHeight="false" outlineLevel="0" collapsed="false">
      <c r="B18" s="49"/>
      <c r="C18" s="52"/>
      <c r="D18" s="57"/>
      <c r="E18" s="57" t="s">
        <v>149</v>
      </c>
      <c r="F18" s="52"/>
      <c r="G18" s="52"/>
      <c r="H18" s="52"/>
      <c r="I18" s="52"/>
      <c r="J18" s="52"/>
      <c r="K18" s="52"/>
      <c r="L18" s="52"/>
      <c r="M18" s="52"/>
      <c r="N18" s="52"/>
      <c r="O18" s="52"/>
    </row>
    <row r="19" customFormat="false" ht="16.4" hidden="false" customHeight="true" outlineLevel="0" collapsed="false">
      <c r="B19" s="49"/>
      <c r="C19" s="58" t="s">
        <v>81</v>
      </c>
      <c r="D19" s="54" t="s">
        <v>4</v>
      </c>
      <c r="E19" s="56" t="s">
        <v>150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</row>
    <row r="20" customFormat="false" ht="16.4" hidden="false" customHeight="false" outlineLevel="0" collapsed="false">
      <c r="B20" s="49"/>
      <c r="C20" s="58"/>
      <c r="D20" s="54" t="s">
        <v>5</v>
      </c>
      <c r="E20" s="56" t="s">
        <v>150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</row>
    <row r="21" customFormat="false" ht="16.4" hidden="false" customHeight="false" outlineLevel="0" collapsed="false">
      <c r="B21" s="49"/>
      <c r="C21" s="58"/>
      <c r="D21" s="54" t="s">
        <v>6</v>
      </c>
      <c r="E21" s="56" t="s">
        <v>150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</row>
    <row r="22" customFormat="false" ht="16.4" hidden="false" customHeight="false" outlineLevel="0" collapsed="false">
      <c r="B22" s="49"/>
      <c r="C22" s="58"/>
      <c r="D22" s="54" t="s">
        <v>7</v>
      </c>
      <c r="E22" s="56" t="s">
        <v>150</v>
      </c>
      <c r="F22" s="52"/>
      <c r="G22" s="52"/>
      <c r="H22" s="52"/>
      <c r="I22" s="52"/>
      <c r="J22" s="52"/>
      <c r="K22" s="52"/>
      <c r="L22" s="52"/>
      <c r="M22" s="52"/>
      <c r="N22" s="52"/>
      <c r="O22" s="52"/>
    </row>
    <row r="23" customFormat="false" ht="16.4" hidden="false" customHeight="false" outlineLevel="0" collapsed="false">
      <c r="B23" s="49"/>
      <c r="C23" s="58"/>
      <c r="D23" s="54" t="s">
        <v>8</v>
      </c>
      <c r="E23" s="56" t="s">
        <v>150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</row>
    <row r="24" customFormat="false" ht="16.4" hidden="false" customHeight="false" outlineLevel="0" collapsed="false">
      <c r="B24" s="49"/>
      <c r="C24" s="58"/>
      <c r="D24" s="54" t="s">
        <v>36</v>
      </c>
      <c r="E24" s="56" t="s">
        <v>150</v>
      </c>
      <c r="F24" s="52"/>
      <c r="G24" s="52"/>
      <c r="H24" s="52"/>
      <c r="I24" s="52"/>
      <c r="J24" s="52"/>
      <c r="K24" s="52"/>
      <c r="L24" s="52"/>
      <c r="M24" s="52"/>
      <c r="N24" s="52"/>
      <c r="O24" s="52"/>
    </row>
    <row r="25" customFormat="false" ht="16.4" hidden="false" customHeight="true" outlineLevel="0" collapsed="false">
      <c r="B25" s="49"/>
      <c r="C25" s="59" t="s">
        <v>151</v>
      </c>
      <c r="D25" s="54" t="s">
        <v>152</v>
      </c>
      <c r="E25" s="56" t="s">
        <v>150</v>
      </c>
      <c r="F25" s="52"/>
      <c r="G25" s="52"/>
      <c r="H25" s="52"/>
      <c r="I25" s="52"/>
      <c r="J25" s="52"/>
      <c r="K25" s="52"/>
      <c r="L25" s="52"/>
      <c r="M25" s="52"/>
      <c r="N25" s="52"/>
      <c r="O25" s="52"/>
    </row>
    <row r="26" customFormat="false" ht="16.4" hidden="false" customHeight="false" outlineLevel="0" collapsed="false">
      <c r="B26" s="49"/>
      <c r="C26" s="59"/>
      <c r="D26" s="54" t="s">
        <v>153</v>
      </c>
      <c r="E26" s="56" t="s">
        <v>150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</row>
    <row r="27" customFormat="false" ht="16.4" hidden="false" customHeight="false" outlineLevel="0" collapsed="false">
      <c r="B27" s="49"/>
      <c r="C27" s="59"/>
      <c r="D27" s="54" t="s">
        <v>154</v>
      </c>
      <c r="E27" s="56" t="s">
        <v>150</v>
      </c>
      <c r="F27" s="52"/>
      <c r="G27" s="52"/>
      <c r="H27" s="52"/>
      <c r="I27" s="52"/>
      <c r="J27" s="52"/>
      <c r="K27" s="52"/>
      <c r="L27" s="52"/>
      <c r="M27" s="52"/>
      <c r="N27" s="52"/>
      <c r="O27" s="52"/>
    </row>
    <row r="28" customFormat="false" ht="16.4" hidden="false" customHeight="false" outlineLevel="0" collapsed="false">
      <c r="B28" s="49"/>
      <c r="C28" s="59"/>
      <c r="D28" s="54" t="s">
        <v>155</v>
      </c>
      <c r="E28" s="56" t="s">
        <v>150</v>
      </c>
      <c r="F28" s="52"/>
      <c r="G28" s="52"/>
      <c r="H28" s="52"/>
      <c r="I28" s="52"/>
      <c r="J28" s="52"/>
      <c r="K28" s="52"/>
      <c r="L28" s="52"/>
      <c r="M28" s="52"/>
      <c r="N28" s="52"/>
      <c r="O28" s="52"/>
    </row>
    <row r="29" customFormat="false" ht="16.4" hidden="false" customHeight="false" outlineLevel="0" collapsed="false">
      <c r="B29" s="49"/>
      <c r="C29" s="59"/>
      <c r="D29" s="54" t="s">
        <v>156</v>
      </c>
      <c r="E29" s="56" t="s">
        <v>150</v>
      </c>
      <c r="F29" s="52"/>
      <c r="G29" s="52"/>
      <c r="H29" s="52"/>
      <c r="I29" s="52"/>
      <c r="J29" s="52"/>
      <c r="K29" s="52"/>
      <c r="L29" s="52"/>
      <c r="M29" s="52"/>
      <c r="N29" s="52"/>
      <c r="O29" s="52"/>
    </row>
    <row r="30" customFormat="false" ht="16.4" hidden="false" customHeight="false" outlineLevel="0" collapsed="false">
      <c r="B30" s="49"/>
      <c r="C30" s="59"/>
      <c r="D30" s="54" t="s">
        <v>157</v>
      </c>
      <c r="E30" s="56" t="s">
        <v>150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</row>
    <row r="31" customFormat="false" ht="16.4" hidden="false" customHeight="false" outlineLevel="0" collapsed="false">
      <c r="B31" s="49"/>
      <c r="C31" s="59"/>
      <c r="D31" s="56" t="s">
        <v>158</v>
      </c>
      <c r="E31" s="56" t="s">
        <v>150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</row>
    <row r="32" customFormat="false" ht="16.4" hidden="false" customHeight="false" outlineLevel="0" collapsed="false">
      <c r="B32" s="49"/>
      <c r="C32" s="59"/>
      <c r="D32" s="56" t="s">
        <v>159</v>
      </c>
      <c r="E32" s="56" t="s">
        <v>150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</row>
    <row r="33" customFormat="false" ht="16.4" hidden="false" customHeight="false" outlineLevel="0" collapsed="false">
      <c r="B33" s="49"/>
      <c r="C33" s="59"/>
      <c r="D33" s="56" t="s">
        <v>160</v>
      </c>
      <c r="E33" s="56" t="s">
        <v>150</v>
      </c>
      <c r="F33" s="54" t="s">
        <v>161</v>
      </c>
      <c r="G33" s="52"/>
      <c r="H33" s="52"/>
      <c r="I33" s="52"/>
      <c r="J33" s="52"/>
      <c r="K33" s="52"/>
      <c r="L33" s="52"/>
      <c r="M33" s="52"/>
      <c r="N33" s="52"/>
      <c r="O33" s="52"/>
    </row>
    <row r="34" customFormat="false" ht="16.4" hidden="false" customHeight="false" outlineLevel="0" collapsed="false">
      <c r="B34" s="49"/>
      <c r="C34" s="59"/>
      <c r="D34" s="54" t="s">
        <v>162</v>
      </c>
      <c r="E34" s="56" t="s">
        <v>150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</row>
    <row r="35" customFormat="false" ht="14.25" hidden="false" customHeight="true" outlineLevel="0" collapsed="false">
      <c r="B35" s="49"/>
      <c r="C35" s="58" t="s">
        <v>163</v>
      </c>
      <c r="D35" s="60" t="s">
        <v>164</v>
      </c>
      <c r="E35" s="54" t="s">
        <v>165</v>
      </c>
      <c r="F35" s="54" t="s">
        <v>166</v>
      </c>
      <c r="G35" s="54" t="s">
        <v>1</v>
      </c>
      <c r="H35" s="54" t="s">
        <v>166</v>
      </c>
      <c r="I35" s="54" t="s">
        <v>1</v>
      </c>
      <c r="J35" s="54" t="s">
        <v>166</v>
      </c>
      <c r="K35" s="54" t="s">
        <v>1</v>
      </c>
      <c r="L35" s="54" t="s">
        <v>166</v>
      </c>
      <c r="M35" s="54" t="s">
        <v>1</v>
      </c>
      <c r="N35" s="54" t="s">
        <v>166</v>
      </c>
      <c r="O35" s="54" t="s">
        <v>1</v>
      </c>
    </row>
    <row r="36" customFormat="false" ht="14.25" hidden="false" customHeight="false" outlineLevel="0" collapsed="false">
      <c r="B36" s="49"/>
      <c r="C36" s="58"/>
      <c r="D36" s="54" t="s">
        <v>167</v>
      </c>
      <c r="E36" s="54" t="n">
        <v>1</v>
      </c>
      <c r="F36" s="54" t="n">
        <v>5</v>
      </c>
      <c r="G36" s="54" t="n">
        <f aca="false">E36*F36</f>
        <v>5</v>
      </c>
      <c r="H36" s="54"/>
      <c r="I36" s="54" t="n">
        <f aca="false">$E36*H36</f>
        <v>0</v>
      </c>
      <c r="J36" s="54"/>
      <c r="K36" s="54" t="n">
        <f aca="false">$E36*J36</f>
        <v>0</v>
      </c>
      <c r="L36" s="54" t="n">
        <v>5</v>
      </c>
      <c r="M36" s="54" t="n">
        <f aca="false">$E36*L36</f>
        <v>5</v>
      </c>
      <c r="N36" s="54" t="n">
        <v>5</v>
      </c>
      <c r="O36" s="54" t="n">
        <f aca="false">$E36*N36</f>
        <v>5</v>
      </c>
    </row>
    <row r="37" customFormat="false" ht="14.25" hidden="false" customHeight="false" outlineLevel="0" collapsed="false">
      <c r="B37" s="49"/>
      <c r="C37" s="58"/>
      <c r="D37" s="54" t="s">
        <v>168</v>
      </c>
      <c r="E37" s="54" t="n">
        <v>2</v>
      </c>
      <c r="F37" s="54" t="n">
        <v>4</v>
      </c>
      <c r="G37" s="54" t="n">
        <f aca="false">E37*F37</f>
        <v>8</v>
      </c>
      <c r="H37" s="54"/>
      <c r="I37" s="54" t="n">
        <f aca="false">$E37*H37</f>
        <v>0</v>
      </c>
      <c r="J37" s="54"/>
      <c r="K37" s="54" t="n">
        <f aca="false">$E37*J37</f>
        <v>0</v>
      </c>
      <c r="L37" s="54" t="n">
        <v>4</v>
      </c>
      <c r="M37" s="54" t="n">
        <f aca="false">$E37*L37</f>
        <v>8</v>
      </c>
      <c r="N37" s="54" t="n">
        <v>4</v>
      </c>
      <c r="O37" s="54" t="n">
        <f aca="false">$E37*N37</f>
        <v>8</v>
      </c>
    </row>
    <row r="38" customFormat="false" ht="14.25" hidden="false" customHeight="false" outlineLevel="0" collapsed="false">
      <c r="B38" s="49"/>
      <c r="C38" s="58"/>
      <c r="D38" s="54" t="s">
        <v>169</v>
      </c>
      <c r="E38" s="54" t="n">
        <v>3</v>
      </c>
      <c r="F38" s="54" t="n">
        <v>3</v>
      </c>
      <c r="G38" s="54" t="n">
        <f aca="false">E38*F38</f>
        <v>9</v>
      </c>
      <c r="H38" s="54"/>
      <c r="I38" s="54" t="n">
        <f aca="false">$E38*H38</f>
        <v>0</v>
      </c>
      <c r="J38" s="54"/>
      <c r="K38" s="54" t="n">
        <f aca="false">$E38*J38</f>
        <v>0</v>
      </c>
      <c r="L38" s="54" t="n">
        <v>3</v>
      </c>
      <c r="M38" s="54" t="n">
        <f aca="false">$E38*L38</f>
        <v>9</v>
      </c>
      <c r="N38" s="54" t="n">
        <v>3</v>
      </c>
      <c r="O38" s="54" t="n">
        <f aca="false">$E38*N38</f>
        <v>9</v>
      </c>
    </row>
    <row r="39" customFormat="false" ht="14.25" hidden="false" customHeight="false" outlineLevel="0" collapsed="false">
      <c r="B39" s="49"/>
      <c r="C39" s="58"/>
      <c r="D39" s="54" t="s">
        <v>170</v>
      </c>
      <c r="E39" s="54" t="n">
        <v>5</v>
      </c>
      <c r="F39" s="54" t="n">
        <v>5</v>
      </c>
      <c r="G39" s="54" t="n">
        <f aca="false">E39*F39</f>
        <v>25</v>
      </c>
      <c r="H39" s="54"/>
      <c r="I39" s="54" t="n">
        <f aca="false">$E39*H39</f>
        <v>0</v>
      </c>
      <c r="J39" s="54"/>
      <c r="K39" s="54" t="n">
        <f aca="false">$E39*J39</f>
        <v>0</v>
      </c>
      <c r="L39" s="54" t="n">
        <v>5</v>
      </c>
      <c r="M39" s="54" t="n">
        <f aca="false">$E39*L39</f>
        <v>25</v>
      </c>
      <c r="N39" s="54" t="n">
        <v>5</v>
      </c>
      <c r="O39" s="54" t="n">
        <f aca="false">$E39*N39</f>
        <v>25</v>
      </c>
    </row>
    <row r="40" customFormat="false" ht="14.25" hidden="false" customHeight="false" outlineLevel="0" collapsed="false">
      <c r="B40" s="49"/>
      <c r="C40" s="58"/>
      <c r="D40" s="54" t="s">
        <v>171</v>
      </c>
      <c r="E40" s="54" t="n">
        <v>5</v>
      </c>
      <c r="F40" s="54" t="n">
        <v>2</v>
      </c>
      <c r="G40" s="54" t="n">
        <f aca="false">E40*F40</f>
        <v>10</v>
      </c>
      <c r="H40" s="54"/>
      <c r="I40" s="54" t="n">
        <f aca="false">$E40*H40</f>
        <v>0</v>
      </c>
      <c r="J40" s="54"/>
      <c r="K40" s="54" t="n">
        <f aca="false">$E40*J40</f>
        <v>0</v>
      </c>
      <c r="L40" s="54" t="n">
        <v>2</v>
      </c>
      <c r="M40" s="54" t="n">
        <f aca="false">$E40*L40</f>
        <v>10</v>
      </c>
      <c r="N40" s="54" t="n">
        <v>2</v>
      </c>
      <c r="O40" s="54" t="n">
        <f aca="false">$E40*N40</f>
        <v>10</v>
      </c>
    </row>
    <row r="41" customFormat="false" ht="14.25" hidden="false" customHeight="false" outlineLevel="0" collapsed="false">
      <c r="B41" s="49"/>
      <c r="C41" s="58"/>
      <c r="D41" s="54" t="s">
        <v>172</v>
      </c>
      <c r="E41" s="54" t="n">
        <v>10</v>
      </c>
      <c r="F41" s="54" t="n">
        <v>5</v>
      </c>
      <c r="G41" s="54" t="n">
        <f aca="false">E41*F41</f>
        <v>50</v>
      </c>
      <c r="H41" s="54"/>
      <c r="I41" s="54" t="n">
        <f aca="false">$E41*H41</f>
        <v>0</v>
      </c>
      <c r="J41" s="54"/>
      <c r="K41" s="54" t="n">
        <f aca="false">$E41*J41</f>
        <v>0</v>
      </c>
      <c r="L41" s="54" t="n">
        <v>5</v>
      </c>
      <c r="M41" s="54" t="n">
        <f aca="false">$E41*L41</f>
        <v>50</v>
      </c>
      <c r="N41" s="54" t="n">
        <v>5</v>
      </c>
      <c r="O41" s="54" t="n">
        <f aca="false">$E41*N41</f>
        <v>50</v>
      </c>
    </row>
    <row r="42" customFormat="false" ht="14.25" hidden="false" customHeight="false" outlineLevel="0" collapsed="false">
      <c r="B42" s="49"/>
      <c r="C42" s="58"/>
      <c r="D42" s="54" t="s">
        <v>173</v>
      </c>
      <c r="E42" s="54" t="n">
        <v>100</v>
      </c>
      <c r="F42" s="54" t="n">
        <v>0</v>
      </c>
      <c r="G42" s="54" t="n">
        <f aca="false">E42*F42</f>
        <v>0</v>
      </c>
      <c r="H42" s="54"/>
      <c r="I42" s="54" t="n">
        <f aca="false">$E42*H42</f>
        <v>0</v>
      </c>
      <c r="J42" s="54"/>
      <c r="K42" s="54" t="n">
        <f aca="false">$E42*J42</f>
        <v>0</v>
      </c>
      <c r="L42" s="54" t="n">
        <v>5</v>
      </c>
      <c r="M42" s="54" t="n">
        <f aca="false">$E42*L42</f>
        <v>500</v>
      </c>
      <c r="N42" s="54" t="n">
        <v>0</v>
      </c>
      <c r="O42" s="54" t="n">
        <f aca="false">$E42*N42</f>
        <v>0</v>
      </c>
    </row>
    <row r="43" customFormat="false" ht="14.25" hidden="false" customHeight="false" outlineLevel="0" collapsed="false">
      <c r="B43" s="49"/>
      <c r="C43" s="58"/>
      <c r="D43" s="54" t="s">
        <v>24</v>
      </c>
      <c r="E43" s="54"/>
      <c r="F43" s="54" t="n">
        <f aca="false">SUM(F36:F42)</f>
        <v>24</v>
      </c>
      <c r="G43" s="54" t="n">
        <f aca="false">E43*F43</f>
        <v>0</v>
      </c>
      <c r="H43" s="54" t="n">
        <f aca="false">SUM(H36:H42)</f>
        <v>0</v>
      </c>
      <c r="I43" s="54"/>
      <c r="J43" s="54" t="n">
        <f aca="false">SUM(J36:J42)</f>
        <v>0</v>
      </c>
      <c r="K43" s="54"/>
      <c r="L43" s="54" t="n">
        <f aca="false">SUM(L36:L42)</f>
        <v>29</v>
      </c>
      <c r="M43" s="54"/>
      <c r="N43" s="54" t="n">
        <f aca="false">SUM(N36:N42)</f>
        <v>24</v>
      </c>
      <c r="O43" s="54"/>
    </row>
    <row r="44" customFormat="false" ht="14.25" hidden="false" customHeight="false" outlineLevel="0" collapsed="false">
      <c r="B44" s="49"/>
      <c r="C44" s="58"/>
      <c r="D44" s="54" t="s">
        <v>25</v>
      </c>
      <c r="E44" s="54"/>
      <c r="F44" s="54"/>
      <c r="G44" s="54" t="n">
        <f aca="false">SUM(G36:G42)</f>
        <v>107</v>
      </c>
      <c r="H44" s="54"/>
      <c r="I44" s="54" t="n">
        <f aca="false">SUM(I36:I42)</f>
        <v>0</v>
      </c>
      <c r="J44" s="54"/>
      <c r="K44" s="54" t="n">
        <f aca="false">SUM(K36:K42)</f>
        <v>0</v>
      </c>
      <c r="L44" s="54"/>
      <c r="M44" s="54" t="n">
        <f aca="false">SUM(M36:M42)</f>
        <v>607</v>
      </c>
      <c r="N44" s="54"/>
      <c r="O44" s="54" t="n">
        <f aca="false">SUM(O36:O42)</f>
        <v>107</v>
      </c>
    </row>
    <row r="45" customFormat="false" ht="14.25" hidden="false" customHeight="false" outlineLevel="0" collapsed="false">
      <c r="B45" s="49" t="s">
        <v>174</v>
      </c>
      <c r="C45" s="61" t="s">
        <v>175</v>
      </c>
      <c r="D45" s="54"/>
      <c r="E45" s="54" t="s">
        <v>29</v>
      </c>
      <c r="F45" s="54" t="s">
        <v>176</v>
      </c>
      <c r="G45" s="54" t="s">
        <v>177</v>
      </c>
      <c r="H45" s="52"/>
      <c r="I45" s="52"/>
      <c r="J45" s="52"/>
      <c r="K45" s="52"/>
      <c r="L45" s="52"/>
      <c r="M45" s="52"/>
      <c r="N45" s="52"/>
      <c r="O45" s="52"/>
    </row>
    <row r="46" customFormat="false" ht="14.25" hidden="false" customHeight="false" outlineLevel="0" collapsed="false">
      <c r="B46" s="49"/>
      <c r="C46" s="61"/>
      <c r="D46" s="54" t="s">
        <v>4</v>
      </c>
      <c r="E46" s="62"/>
      <c r="F46" s="62"/>
      <c r="G46" s="54"/>
      <c r="H46" s="52"/>
      <c r="I46" s="52"/>
      <c r="J46" s="52"/>
      <c r="K46" s="52"/>
      <c r="L46" s="52"/>
      <c r="M46" s="52"/>
      <c r="N46" s="52"/>
      <c r="O46" s="52"/>
    </row>
    <row r="47" customFormat="false" ht="14.25" hidden="false" customHeight="false" outlineLevel="0" collapsed="false">
      <c r="B47" s="49"/>
      <c r="C47" s="61"/>
      <c r="D47" s="54" t="s">
        <v>5</v>
      </c>
      <c r="E47" s="62"/>
      <c r="F47" s="62"/>
      <c r="G47" s="54"/>
      <c r="H47" s="52"/>
      <c r="I47" s="52"/>
      <c r="J47" s="52"/>
      <c r="K47" s="52"/>
      <c r="L47" s="52"/>
      <c r="M47" s="52"/>
      <c r="N47" s="52"/>
      <c r="O47" s="52"/>
    </row>
    <row r="48" customFormat="false" ht="14.25" hidden="false" customHeight="false" outlineLevel="0" collapsed="false">
      <c r="B48" s="49"/>
      <c r="C48" s="61"/>
      <c r="D48" s="54" t="s">
        <v>6</v>
      </c>
      <c r="E48" s="62"/>
      <c r="F48" s="62"/>
      <c r="G48" s="54"/>
      <c r="H48" s="52"/>
      <c r="I48" s="52"/>
      <c r="J48" s="52"/>
      <c r="K48" s="52"/>
      <c r="L48" s="52"/>
      <c r="M48" s="52"/>
      <c r="N48" s="52"/>
      <c r="O48" s="52"/>
    </row>
    <row r="49" customFormat="false" ht="14.25" hidden="false" customHeight="false" outlineLevel="0" collapsed="false">
      <c r="B49" s="49"/>
      <c r="C49" s="61"/>
      <c r="D49" s="54" t="s">
        <v>7</v>
      </c>
      <c r="E49" s="62"/>
      <c r="F49" s="62"/>
      <c r="G49" s="54"/>
      <c r="H49" s="52"/>
      <c r="I49" s="52"/>
      <c r="J49" s="52"/>
      <c r="K49" s="52"/>
      <c r="L49" s="52"/>
      <c r="M49" s="52"/>
      <c r="N49" s="52"/>
      <c r="O49" s="52"/>
    </row>
    <row r="50" customFormat="false" ht="14.25" hidden="false" customHeight="false" outlineLevel="0" collapsed="false">
      <c r="B50" s="49"/>
      <c r="C50" s="61"/>
      <c r="D50" s="54" t="s">
        <v>8</v>
      </c>
      <c r="E50" s="62"/>
      <c r="F50" s="62"/>
      <c r="G50" s="54"/>
      <c r="H50" s="52"/>
      <c r="I50" s="52"/>
      <c r="J50" s="52"/>
      <c r="K50" s="52"/>
      <c r="L50" s="52"/>
      <c r="M50" s="52"/>
      <c r="N50" s="52"/>
      <c r="O50" s="52"/>
    </row>
    <row r="51" customFormat="false" ht="14.25" hidden="false" customHeight="false" outlineLevel="0" collapsed="false">
      <c r="B51" s="49"/>
      <c r="C51" s="61"/>
      <c r="D51" s="54" t="s">
        <v>36</v>
      </c>
      <c r="E51" s="62"/>
      <c r="F51" s="62"/>
      <c r="G51" s="54"/>
      <c r="H51" s="52"/>
      <c r="I51" s="52"/>
      <c r="J51" s="52"/>
      <c r="K51" s="52"/>
      <c r="L51" s="52"/>
      <c r="M51" s="52"/>
      <c r="N51" s="52"/>
      <c r="O51" s="52"/>
    </row>
    <row r="52" customFormat="false" ht="7.5" hidden="false" customHeight="true" outlineLevel="0" collapsed="false">
      <c r="B52" s="49"/>
      <c r="C52" s="61"/>
      <c r="D52" s="54"/>
      <c r="E52" s="54"/>
      <c r="F52" s="54"/>
      <c r="G52" s="54"/>
      <c r="H52" s="52"/>
      <c r="I52" s="52"/>
      <c r="J52" s="52"/>
      <c r="K52" s="52"/>
      <c r="L52" s="52"/>
      <c r="M52" s="52"/>
      <c r="N52" s="52"/>
      <c r="O52" s="52"/>
    </row>
    <row r="53" customFormat="false" ht="14.25" hidden="false" customHeight="false" outlineLevel="0" collapsed="false">
      <c r="B53" s="49"/>
      <c r="C53" s="61"/>
      <c r="D53" s="54"/>
      <c r="E53" s="54"/>
      <c r="F53" s="54"/>
      <c r="G53" s="54"/>
      <c r="H53" s="52"/>
      <c r="I53" s="52"/>
      <c r="J53" s="52"/>
      <c r="K53" s="52"/>
      <c r="L53" s="52"/>
      <c r="M53" s="52"/>
      <c r="N53" s="52"/>
      <c r="O53" s="52"/>
    </row>
    <row r="54" customFormat="false" ht="14.25" hidden="false" customHeight="false" outlineLevel="0" collapsed="false">
      <c r="B54" s="49"/>
      <c r="C54" s="61"/>
      <c r="D54" s="54" t="s">
        <v>178</v>
      </c>
      <c r="E54" s="54"/>
      <c r="F54" s="54"/>
      <c r="G54" s="54"/>
      <c r="H54" s="52"/>
      <c r="I54" s="52"/>
      <c r="J54" s="52"/>
      <c r="K54" s="52"/>
      <c r="L54" s="52"/>
      <c r="M54" s="52"/>
      <c r="N54" s="52"/>
      <c r="O54" s="52"/>
    </row>
    <row r="55" customFormat="false" ht="16.4" hidden="false" customHeight="false" outlineLevel="0" collapsed="false">
      <c r="B55" s="49"/>
      <c r="C55" s="61"/>
      <c r="D55" s="56" t="s">
        <v>179</v>
      </c>
      <c r="E55" s="54"/>
      <c r="F55" s="54"/>
      <c r="G55" s="54"/>
      <c r="H55" s="52"/>
      <c r="I55" s="52"/>
      <c r="J55" s="52"/>
      <c r="K55" s="52"/>
      <c r="L55" s="52"/>
      <c r="M55" s="52"/>
      <c r="N55" s="52"/>
      <c r="O55" s="52"/>
    </row>
    <row r="56" customFormat="false" ht="14.25" hidden="false" customHeight="false" outlineLevel="0" collapsed="false">
      <c r="B56" s="49"/>
      <c r="C56" s="61"/>
      <c r="D56" s="54" t="s">
        <v>180</v>
      </c>
      <c r="E56" s="54" t="s">
        <v>181</v>
      </c>
      <c r="F56" s="54"/>
      <c r="G56" s="54"/>
      <c r="H56" s="52"/>
      <c r="I56" s="52"/>
      <c r="J56" s="52"/>
      <c r="K56" s="52"/>
      <c r="L56" s="52"/>
      <c r="M56" s="52"/>
      <c r="N56" s="52"/>
      <c r="O56" s="52"/>
    </row>
    <row r="57" customFormat="false" ht="14.25" hidden="false" customHeight="false" outlineLevel="0" collapsed="false">
      <c r="B57" s="49"/>
      <c r="C57" s="61"/>
      <c r="D57" s="54" t="s">
        <v>182</v>
      </c>
      <c r="E57" s="54"/>
      <c r="F57" s="54"/>
      <c r="G57" s="54"/>
      <c r="H57" s="52"/>
      <c r="I57" s="52"/>
      <c r="J57" s="52"/>
      <c r="K57" s="52"/>
      <c r="L57" s="52"/>
      <c r="M57" s="52"/>
      <c r="N57" s="52"/>
      <c r="O57" s="52"/>
    </row>
    <row r="58" customFormat="false" ht="14.25" hidden="false" customHeight="false" outlineLevel="0" collapsed="false">
      <c r="B58" s="49"/>
      <c r="C58" s="61"/>
      <c r="D58" s="54" t="s">
        <v>183</v>
      </c>
      <c r="E58" s="54" t="s">
        <v>184</v>
      </c>
      <c r="F58" s="54"/>
      <c r="G58" s="54"/>
      <c r="H58" s="52"/>
      <c r="I58" s="52"/>
      <c r="J58" s="52"/>
      <c r="K58" s="52"/>
      <c r="L58" s="52"/>
      <c r="M58" s="52"/>
      <c r="N58" s="52"/>
      <c r="O58" s="52"/>
    </row>
    <row r="59" customFormat="false" ht="14.25" hidden="false" customHeight="false" outlineLevel="0" collapsed="false">
      <c r="B59" s="49"/>
      <c r="C59" s="61"/>
      <c r="D59" s="54" t="s">
        <v>185</v>
      </c>
      <c r="E59" s="54"/>
      <c r="F59" s="54"/>
      <c r="G59" s="54"/>
      <c r="H59" s="52"/>
      <c r="I59" s="52"/>
      <c r="J59" s="52"/>
      <c r="K59" s="52"/>
      <c r="L59" s="52"/>
      <c r="M59" s="52"/>
      <c r="N59" s="52"/>
      <c r="O59" s="52"/>
    </row>
    <row r="60" customFormat="false" ht="14.25" hidden="false" customHeight="false" outlineLevel="0" collapsed="false">
      <c r="B60" s="49"/>
      <c r="C60" s="61"/>
      <c r="D60" s="54" t="s">
        <v>186</v>
      </c>
      <c r="E60" s="54"/>
      <c r="F60" s="54"/>
      <c r="G60" s="54"/>
      <c r="H60" s="52"/>
      <c r="I60" s="52"/>
      <c r="J60" s="52"/>
      <c r="K60" s="52"/>
      <c r="L60" s="52"/>
      <c r="M60" s="52"/>
      <c r="N60" s="52"/>
      <c r="O60" s="52"/>
    </row>
    <row r="61" customFormat="false" ht="14.25" hidden="false" customHeight="false" outlineLevel="0" collapsed="false">
      <c r="B61" s="49"/>
      <c r="C61" s="61"/>
      <c r="D61" s="54" t="s">
        <v>187</v>
      </c>
      <c r="E61" s="54"/>
      <c r="F61" s="54"/>
      <c r="G61" s="54"/>
      <c r="H61" s="52"/>
      <c r="I61" s="52"/>
      <c r="J61" s="52"/>
      <c r="K61" s="52"/>
      <c r="L61" s="52"/>
      <c r="M61" s="52"/>
      <c r="N61" s="52"/>
      <c r="O61" s="52"/>
    </row>
    <row r="62" customFormat="false" ht="14.25" hidden="false" customHeight="false" outlineLevel="0" collapsed="false">
      <c r="B62" s="20" t="s">
        <v>188</v>
      </c>
      <c r="C62" s="46" t="s">
        <v>189</v>
      </c>
    </row>
    <row r="63" customFormat="false" ht="14.25" hidden="false" customHeight="false" outlineLevel="0" collapsed="false">
      <c r="B63" s="20" t="s">
        <v>190</v>
      </c>
      <c r="C63" s="46" t="s">
        <v>191</v>
      </c>
    </row>
    <row r="64" customFormat="false" ht="14.25" hidden="false" customHeight="false" outlineLevel="0" collapsed="false">
      <c r="B64" s="20" t="s">
        <v>192</v>
      </c>
      <c r="C64" s="46" t="s">
        <v>191</v>
      </c>
    </row>
    <row r="65" customFormat="false" ht="14.25" hidden="false" customHeight="false" outlineLevel="0" collapsed="false">
      <c r="B65" s="20" t="s">
        <v>193</v>
      </c>
      <c r="C65" s="46" t="s">
        <v>191</v>
      </c>
    </row>
    <row r="66" customFormat="false" ht="14.25" hidden="false" customHeight="false" outlineLevel="0" collapsed="false">
      <c r="B66" s="20" t="s">
        <v>194</v>
      </c>
      <c r="C66" s="46" t="s">
        <v>191</v>
      </c>
    </row>
    <row r="67" customFormat="false" ht="14.25" hidden="false" customHeight="false" outlineLevel="0" collapsed="false">
      <c r="B67" s="47" t="s">
        <v>130</v>
      </c>
      <c r="C67" s="63" t="s">
        <v>195</v>
      </c>
    </row>
    <row r="68" customFormat="false" ht="14.25" hidden="false" customHeight="false" outlineLevel="0" collapsed="false">
      <c r="B68" s="48" t="s">
        <v>132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</row>
    <row r="69" customFormat="false" ht="14.25" hidden="false" customHeight="false" outlineLevel="0" collapsed="false">
      <c r="B69" s="64" t="s">
        <v>196</v>
      </c>
      <c r="C69" s="64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6"/>
    </row>
    <row r="70" customFormat="false" ht="31.3" hidden="false" customHeight="true" outlineLevel="0" collapsed="false">
      <c r="B70" s="67"/>
      <c r="C70" s="67"/>
      <c r="D70" s="68" t="s">
        <v>197</v>
      </c>
      <c r="E70" s="68"/>
      <c r="F70" s="68"/>
      <c r="G70" s="68"/>
      <c r="H70" s="68"/>
      <c r="I70" s="67"/>
      <c r="J70" s="69" t="s">
        <v>198</v>
      </c>
      <c r="K70" s="69"/>
      <c r="L70" s="69"/>
      <c r="M70" s="69"/>
      <c r="N70" s="69"/>
      <c r="O70" s="69"/>
      <c r="P70" s="66"/>
    </row>
    <row r="71" customFormat="false" ht="14.25" hidden="false" customHeight="false" outlineLevel="0" collapsed="false">
      <c r="B71" s="70" t="s">
        <v>2</v>
      </c>
      <c r="C71" s="71" t="s">
        <v>3</v>
      </c>
      <c r="D71" s="71" t="s">
        <v>4</v>
      </c>
      <c r="E71" s="71" t="s">
        <v>5</v>
      </c>
      <c r="F71" s="71" t="s">
        <v>6</v>
      </c>
      <c r="G71" s="71" t="s">
        <v>7</v>
      </c>
      <c r="H71" s="71" t="s">
        <v>8</v>
      </c>
      <c r="I71" s="71" t="s">
        <v>199</v>
      </c>
      <c r="J71" s="71" t="s">
        <v>4</v>
      </c>
      <c r="K71" s="71" t="s">
        <v>5</v>
      </c>
      <c r="L71" s="71" t="s">
        <v>6</v>
      </c>
      <c r="M71" s="71" t="s">
        <v>7</v>
      </c>
      <c r="N71" s="71" t="s">
        <v>8</v>
      </c>
      <c r="O71" s="71" t="s">
        <v>36</v>
      </c>
      <c r="P71" s="66"/>
    </row>
    <row r="72" customFormat="false" ht="14.25" hidden="false" customHeight="false" outlineLevel="0" collapsed="false">
      <c r="B72" s="71" t="s">
        <v>167</v>
      </c>
      <c r="C72" s="65" t="s">
        <v>10</v>
      </c>
      <c r="D72" s="65" t="n">
        <v>5</v>
      </c>
      <c r="E72" s="71"/>
      <c r="F72" s="71"/>
      <c r="G72" s="65" t="n">
        <v>5</v>
      </c>
      <c r="H72" s="71"/>
      <c r="I72" s="71" t="n">
        <v>1</v>
      </c>
      <c r="J72" s="65" t="n">
        <f aca="false">D72*$I72</f>
        <v>5</v>
      </c>
      <c r="K72" s="65" t="n">
        <f aca="false">E72*$I72</f>
        <v>0</v>
      </c>
      <c r="L72" s="65" t="n">
        <f aca="false">F72*$I72</f>
        <v>0</v>
      </c>
      <c r="M72" s="65" t="n">
        <f aca="false">G72*$I72</f>
        <v>5</v>
      </c>
      <c r="N72" s="65" t="n">
        <f aca="false">H72*$I72</f>
        <v>0</v>
      </c>
      <c r="O72" s="65" t="n">
        <f aca="false">SUM(J72:N72)</f>
        <v>10</v>
      </c>
      <c r="P72" s="66"/>
    </row>
    <row r="73" customFormat="false" ht="14.25" hidden="false" customHeight="false" outlineLevel="0" collapsed="false">
      <c r="B73" s="71" t="s">
        <v>168</v>
      </c>
      <c r="C73" s="65" t="s">
        <v>12</v>
      </c>
      <c r="D73" s="65" t="n">
        <v>4</v>
      </c>
      <c r="E73" s="71"/>
      <c r="F73" s="71"/>
      <c r="G73" s="65" t="n">
        <v>4</v>
      </c>
      <c r="H73" s="71"/>
      <c r="I73" s="71" t="n">
        <v>2</v>
      </c>
      <c r="J73" s="65" t="n">
        <f aca="false">D73*$I73</f>
        <v>8</v>
      </c>
      <c r="K73" s="65" t="n">
        <f aca="false">E73*$I73</f>
        <v>0</v>
      </c>
      <c r="L73" s="65" t="n">
        <f aca="false">F73*$I73</f>
        <v>0</v>
      </c>
      <c r="M73" s="65" t="n">
        <f aca="false">G73*$I73</f>
        <v>8</v>
      </c>
      <c r="N73" s="65" t="n">
        <f aca="false">H73*$I73</f>
        <v>0</v>
      </c>
      <c r="O73" s="65" t="n">
        <f aca="false">SUM(J73:N73)</f>
        <v>16</v>
      </c>
      <c r="P73" s="66"/>
    </row>
    <row r="74" customFormat="false" ht="14.25" hidden="false" customHeight="false" outlineLevel="0" collapsed="false">
      <c r="B74" s="71" t="s">
        <v>169</v>
      </c>
      <c r="C74" s="65" t="s">
        <v>14</v>
      </c>
      <c r="D74" s="65" t="n">
        <v>3</v>
      </c>
      <c r="E74" s="71"/>
      <c r="F74" s="71"/>
      <c r="G74" s="65" t="n">
        <v>3</v>
      </c>
      <c r="H74" s="71"/>
      <c r="I74" s="71" t="n">
        <v>3</v>
      </c>
      <c r="J74" s="65" t="n">
        <f aca="false">D74*$I74</f>
        <v>9</v>
      </c>
      <c r="K74" s="65" t="n">
        <f aca="false">E74*$I74</f>
        <v>0</v>
      </c>
      <c r="L74" s="65" t="n">
        <f aca="false">F74*$I74</f>
        <v>0</v>
      </c>
      <c r="M74" s="65" t="n">
        <f aca="false">G74*$I74</f>
        <v>9</v>
      </c>
      <c r="N74" s="65" t="n">
        <f aca="false">H74*$I74</f>
        <v>0</v>
      </c>
      <c r="O74" s="65" t="n">
        <f aca="false">SUM(J74:N74)</f>
        <v>18</v>
      </c>
      <c r="P74" s="66"/>
    </row>
    <row r="75" customFormat="false" ht="14.25" hidden="false" customHeight="false" outlineLevel="0" collapsed="false">
      <c r="B75" s="71" t="s">
        <v>170</v>
      </c>
      <c r="C75" s="65" t="s">
        <v>18</v>
      </c>
      <c r="D75" s="65" t="n">
        <v>5</v>
      </c>
      <c r="E75" s="71"/>
      <c r="F75" s="71"/>
      <c r="G75" s="65" t="n">
        <v>5</v>
      </c>
      <c r="H75" s="71"/>
      <c r="I75" s="71" t="n">
        <v>5</v>
      </c>
      <c r="J75" s="65" t="n">
        <f aca="false">D75*$I75</f>
        <v>25</v>
      </c>
      <c r="K75" s="65" t="n">
        <f aca="false">E75*$I75</f>
        <v>0</v>
      </c>
      <c r="L75" s="65" t="n">
        <f aca="false">F75*$I75</f>
        <v>0</v>
      </c>
      <c r="M75" s="65" t="n">
        <f aca="false">G75*$I75</f>
        <v>25</v>
      </c>
      <c r="N75" s="65" t="n">
        <f aca="false">H75*$I75</f>
        <v>0</v>
      </c>
      <c r="O75" s="65" t="n">
        <f aca="false">SUM(J75:N75)</f>
        <v>50</v>
      </c>
      <c r="P75" s="66"/>
    </row>
    <row r="76" customFormat="false" ht="14.25" hidden="false" customHeight="false" outlineLevel="0" collapsed="false">
      <c r="B76" s="71" t="s">
        <v>171</v>
      </c>
      <c r="C76" s="65" t="s">
        <v>18</v>
      </c>
      <c r="D76" s="65" t="n">
        <v>2</v>
      </c>
      <c r="E76" s="71"/>
      <c r="F76" s="71"/>
      <c r="G76" s="65" t="n">
        <v>2</v>
      </c>
      <c r="H76" s="71"/>
      <c r="I76" s="71" t="n">
        <v>5</v>
      </c>
      <c r="J76" s="65" t="n">
        <f aca="false">D76*$I76</f>
        <v>10</v>
      </c>
      <c r="K76" s="65" t="n">
        <f aca="false">E76*$I76</f>
        <v>0</v>
      </c>
      <c r="L76" s="65" t="n">
        <f aca="false">F76*$I76</f>
        <v>0</v>
      </c>
      <c r="M76" s="65" t="n">
        <f aca="false">G76*$I76</f>
        <v>10</v>
      </c>
      <c r="N76" s="65" t="n">
        <f aca="false">H76*$I76</f>
        <v>0</v>
      </c>
      <c r="O76" s="65" t="n">
        <f aca="false">SUM(J76:N76)</f>
        <v>20</v>
      </c>
      <c r="P76" s="66"/>
    </row>
    <row r="77" customFormat="false" ht="14.25" hidden="false" customHeight="false" outlineLevel="0" collapsed="false">
      <c r="B77" s="71" t="s">
        <v>172</v>
      </c>
      <c r="C77" s="65" t="s">
        <v>21</v>
      </c>
      <c r="D77" s="65" t="n">
        <v>5</v>
      </c>
      <c r="E77" s="71"/>
      <c r="F77" s="71"/>
      <c r="G77" s="65" t="n">
        <v>5</v>
      </c>
      <c r="H77" s="71"/>
      <c r="I77" s="71" t="n">
        <v>10</v>
      </c>
      <c r="J77" s="65" t="n">
        <f aca="false">D77*$I77</f>
        <v>50</v>
      </c>
      <c r="K77" s="65" t="n">
        <f aca="false">E77*$I77</f>
        <v>0</v>
      </c>
      <c r="L77" s="65" t="n">
        <f aca="false">F77*$I77</f>
        <v>0</v>
      </c>
      <c r="M77" s="65" t="n">
        <f aca="false">G77*$I77</f>
        <v>50</v>
      </c>
      <c r="N77" s="65" t="n">
        <f aca="false">H77*$I77</f>
        <v>0</v>
      </c>
      <c r="O77" s="65" t="n">
        <f aca="false">SUM(J77:N77)</f>
        <v>100</v>
      </c>
      <c r="P77" s="66"/>
    </row>
    <row r="78" customFormat="false" ht="16.4" hidden="false" customHeight="false" outlineLevel="0" collapsed="false">
      <c r="B78" s="71" t="s">
        <v>200</v>
      </c>
      <c r="C78" s="65" t="s">
        <v>23</v>
      </c>
      <c r="D78" s="65" t="n">
        <v>0</v>
      </c>
      <c r="E78" s="71"/>
      <c r="F78" s="71"/>
      <c r="G78" s="65" t="n">
        <v>5</v>
      </c>
      <c r="H78" s="71"/>
      <c r="I78" s="71" t="n">
        <v>100</v>
      </c>
      <c r="J78" s="65" t="n">
        <f aca="false">D78*$I78</f>
        <v>0</v>
      </c>
      <c r="K78" s="65" t="n">
        <f aca="false">E78*$I78</f>
        <v>0</v>
      </c>
      <c r="L78" s="65" t="n">
        <f aca="false">F78*$I78</f>
        <v>0</v>
      </c>
      <c r="M78" s="65" t="n">
        <f aca="false">G78*$I78</f>
        <v>500</v>
      </c>
      <c r="N78" s="65" t="n">
        <f aca="false">H78*$I78</f>
        <v>0</v>
      </c>
      <c r="O78" s="65" t="n">
        <f aca="false">SUM(J78:N78)</f>
        <v>500</v>
      </c>
      <c r="P78" s="66"/>
    </row>
    <row r="79" customFormat="false" ht="14.25" hidden="false" customHeight="false" outlineLevel="0" collapsed="false">
      <c r="B79" s="71" t="s">
        <v>24</v>
      </c>
      <c r="C79" s="65"/>
      <c r="D79" s="65" t="n">
        <f aca="false">SUM(D72:D78)</f>
        <v>24</v>
      </c>
      <c r="E79" s="65" t="n">
        <f aca="false">SUM(E72:E78)</f>
        <v>0</v>
      </c>
      <c r="F79" s="65" t="n">
        <f aca="false">SUM(F72:F78)</f>
        <v>0</v>
      </c>
      <c r="G79" s="65" t="n">
        <f aca="false">SUM(G72:G78)</f>
        <v>29</v>
      </c>
      <c r="H79" s="65" t="n">
        <f aca="false">SUM(H72:H78)</f>
        <v>0</v>
      </c>
      <c r="I79" s="71"/>
      <c r="J79" s="65"/>
      <c r="K79" s="65"/>
      <c r="L79" s="65"/>
      <c r="M79" s="65"/>
      <c r="N79" s="65"/>
      <c r="O79" s="65"/>
      <c r="P79" s="66"/>
    </row>
    <row r="80" customFormat="false" ht="14.25" hidden="false" customHeight="false" outlineLevel="0" collapsed="false">
      <c r="B80" s="72" t="s">
        <v>25</v>
      </c>
      <c r="C80" s="65"/>
      <c r="D80" s="65"/>
      <c r="E80" s="65"/>
      <c r="F80" s="65"/>
      <c r="G80" s="65"/>
      <c r="H80" s="65"/>
      <c r="I80" s="71"/>
      <c r="J80" s="65" t="n">
        <f aca="false">SUM(J72:J78)</f>
        <v>107</v>
      </c>
      <c r="K80" s="65" t="n">
        <f aca="false">SUM(K72:K78)</f>
        <v>0</v>
      </c>
      <c r="L80" s="65" t="n">
        <f aca="false">SUM(L72:L78)</f>
        <v>0</v>
      </c>
      <c r="M80" s="65" t="n">
        <f aca="false">SUM(M72:M78)</f>
        <v>607</v>
      </c>
      <c r="N80" s="65" t="n">
        <f aca="false">SUM(N72:N78)</f>
        <v>0</v>
      </c>
      <c r="O80" s="65" t="n">
        <f aca="false">SUM(O72:O78)</f>
        <v>714</v>
      </c>
      <c r="P80" s="66"/>
    </row>
    <row r="81" customFormat="false" ht="14.25" hidden="false" customHeight="false" outlineLevel="0" collapsed="false">
      <c r="B81" s="73" t="s">
        <v>201</v>
      </c>
      <c r="C81" s="73" t="s">
        <v>202</v>
      </c>
      <c r="D81" s="67"/>
      <c r="E81" s="67"/>
      <c r="F81" s="67"/>
      <c r="G81" s="67"/>
      <c r="H81" s="67"/>
      <c r="I81" s="67"/>
      <c r="J81" s="67"/>
      <c r="K81" s="74"/>
      <c r="L81" s="74"/>
      <c r="M81" s="74"/>
      <c r="N81" s="74"/>
      <c r="O81" s="74"/>
      <c r="P81" s="66"/>
    </row>
    <row r="82" customFormat="false" ht="14.25" hidden="false" customHeight="false" outlineLevel="0" collapsed="false">
      <c r="B82" s="75" t="s">
        <v>203</v>
      </c>
      <c r="C82" s="65" t="n">
        <f aca="false">_xlfn.FLOOR.MATH($J80/2,10)</f>
        <v>50</v>
      </c>
      <c r="D82" s="67"/>
      <c r="E82" s="67"/>
      <c r="F82" s="67"/>
      <c r="G82" s="67"/>
      <c r="H82" s="67"/>
      <c r="I82" s="67"/>
      <c r="J82" s="67"/>
      <c r="K82" s="74"/>
      <c r="L82" s="74"/>
      <c r="M82" s="74"/>
      <c r="N82" s="74"/>
      <c r="O82" s="74"/>
      <c r="P82" s="66"/>
    </row>
    <row r="83" customFormat="false" ht="14.25" hidden="false" customHeight="false" outlineLevel="0" collapsed="false">
      <c r="B83" s="75" t="s">
        <v>204</v>
      </c>
      <c r="C83" s="65" t="n">
        <f aca="false">_xlfn.FLOOR.MATH($J80,10)</f>
        <v>100</v>
      </c>
      <c r="D83" s="67"/>
      <c r="E83" s="67"/>
      <c r="F83" s="67"/>
      <c r="G83" s="67"/>
      <c r="H83" s="67"/>
      <c r="I83" s="67"/>
      <c r="J83" s="67"/>
      <c r="K83" s="74"/>
      <c r="L83" s="74"/>
      <c r="M83" s="74"/>
      <c r="N83" s="74"/>
      <c r="O83" s="74"/>
      <c r="P83" s="66"/>
    </row>
    <row r="84" customFormat="false" ht="14.25" hidden="false" customHeight="false" outlineLevel="0" collapsed="false">
      <c r="B84" s="75" t="s">
        <v>205</v>
      </c>
      <c r="C84" s="65" t="n">
        <f aca="false">_xlfn.FLOOR.MATH($J80,10)*5</f>
        <v>500</v>
      </c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6"/>
    </row>
    <row r="85" customFormat="false" ht="14.25" hidden="false" customHeight="false" outlineLevel="0" collapsed="false"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6"/>
    </row>
    <row r="86" customFormat="false" ht="14.25" hidden="false" customHeight="false" outlineLevel="0" collapsed="false">
      <c r="B86" s="71" t="s">
        <v>206</v>
      </c>
      <c r="C86" s="71"/>
      <c r="D86" s="71"/>
      <c r="E86" s="76" t="s">
        <v>207</v>
      </c>
      <c r="F86" s="76"/>
      <c r="G86" s="76"/>
      <c r="H86" s="76"/>
      <c r="I86" s="76"/>
      <c r="J86" s="76"/>
      <c r="K86" s="67"/>
      <c r="L86" s="67"/>
      <c r="M86" s="67"/>
      <c r="N86" s="67"/>
      <c r="O86" s="67"/>
      <c r="P86" s="66"/>
    </row>
    <row r="87" customFormat="false" ht="14.25" hidden="false" customHeight="false" outlineLevel="0" collapsed="false">
      <c r="B87" s="71" t="s">
        <v>31</v>
      </c>
      <c r="C87" s="71" t="s">
        <v>208</v>
      </c>
      <c r="D87" s="71" t="s">
        <v>33</v>
      </c>
      <c r="E87" s="71" t="s">
        <v>203</v>
      </c>
      <c r="F87" s="71" t="s">
        <v>204</v>
      </c>
      <c r="G87" s="71" t="s">
        <v>205</v>
      </c>
      <c r="H87" s="71" t="s">
        <v>8</v>
      </c>
      <c r="I87" s="71" t="s">
        <v>8</v>
      </c>
      <c r="J87" s="70" t="s">
        <v>36</v>
      </c>
      <c r="K87" s="67"/>
      <c r="L87" s="67"/>
      <c r="M87" s="67"/>
      <c r="N87" s="67"/>
      <c r="O87" s="67"/>
      <c r="P87" s="66"/>
    </row>
    <row r="88" customFormat="false" ht="14.25" hidden="false" customHeight="true" outlineLevel="0" collapsed="false">
      <c r="B88" s="68" t="s">
        <v>209</v>
      </c>
      <c r="C88" s="68" t="s">
        <v>210</v>
      </c>
      <c r="D88" s="71" t="s">
        <v>39</v>
      </c>
      <c r="E88" s="65" t="n">
        <v>100</v>
      </c>
      <c r="F88" s="65" t="n">
        <v>120</v>
      </c>
      <c r="G88" s="65" t="n">
        <v>100</v>
      </c>
      <c r="H88" s="65"/>
      <c r="I88" s="65"/>
      <c r="J88" s="73" t="n">
        <f aca="false">SUM(E88:I88)</f>
        <v>320</v>
      </c>
      <c r="K88" s="67"/>
      <c r="L88" s="67"/>
      <c r="M88" s="67"/>
      <c r="N88" s="67"/>
      <c r="O88" s="67"/>
      <c r="P88" s="66"/>
    </row>
    <row r="89" customFormat="false" ht="14.25" hidden="false" customHeight="false" outlineLevel="0" collapsed="false">
      <c r="B89" s="68"/>
      <c r="C89" s="68"/>
      <c r="D89" s="71" t="s">
        <v>40</v>
      </c>
      <c r="E89" s="65" t="n">
        <v>100</v>
      </c>
      <c r="F89" s="65" t="n">
        <v>120</v>
      </c>
      <c r="G89" s="65" t="n">
        <v>100</v>
      </c>
      <c r="H89" s="65"/>
      <c r="I89" s="65"/>
      <c r="J89" s="73" t="n">
        <f aca="false">SUM(E89:I89)</f>
        <v>320</v>
      </c>
      <c r="K89" s="67"/>
      <c r="L89" s="67"/>
      <c r="M89" s="67"/>
      <c r="N89" s="67"/>
      <c r="O89" s="67"/>
      <c r="P89" s="66"/>
    </row>
    <row r="90" customFormat="false" ht="14.25" hidden="false" customHeight="false" outlineLevel="0" collapsed="false">
      <c r="B90" s="68"/>
      <c r="C90" s="68"/>
      <c r="D90" s="71" t="s">
        <v>41</v>
      </c>
      <c r="E90" s="65" t="n">
        <v>100</v>
      </c>
      <c r="F90" s="65" t="n">
        <v>120</v>
      </c>
      <c r="G90" s="65" t="n">
        <v>100</v>
      </c>
      <c r="H90" s="65"/>
      <c r="I90" s="65"/>
      <c r="J90" s="73" t="n">
        <f aca="false">SUM(E90:I90)</f>
        <v>320</v>
      </c>
      <c r="K90" s="67"/>
      <c r="L90" s="67"/>
      <c r="M90" s="67"/>
      <c r="N90" s="67"/>
      <c r="O90" s="67"/>
      <c r="P90" s="66"/>
    </row>
    <row r="91" customFormat="false" ht="14.25" hidden="false" customHeight="true" outlineLevel="0" collapsed="false">
      <c r="B91" s="68"/>
      <c r="C91" s="68" t="s">
        <v>211</v>
      </c>
      <c r="D91" s="71" t="s">
        <v>43</v>
      </c>
      <c r="E91" s="65" t="n">
        <v>100</v>
      </c>
      <c r="F91" s="65" t="n">
        <v>120</v>
      </c>
      <c r="G91" s="65" t="n">
        <v>100</v>
      </c>
      <c r="H91" s="65"/>
      <c r="I91" s="65"/>
      <c r="J91" s="73" t="n">
        <f aca="false">SUM(E91:I91)</f>
        <v>320</v>
      </c>
      <c r="K91" s="67"/>
      <c r="L91" s="67"/>
      <c r="M91" s="67"/>
      <c r="N91" s="67"/>
      <c r="O91" s="67"/>
      <c r="P91" s="66"/>
    </row>
    <row r="92" customFormat="false" ht="14.25" hidden="false" customHeight="false" outlineLevel="0" collapsed="false">
      <c r="B92" s="68"/>
      <c r="C92" s="68"/>
      <c r="D92" s="71" t="s">
        <v>44</v>
      </c>
      <c r="E92" s="65" t="n">
        <v>100</v>
      </c>
      <c r="F92" s="65" t="n">
        <v>120</v>
      </c>
      <c r="G92" s="65" t="n">
        <v>100</v>
      </c>
      <c r="H92" s="65"/>
      <c r="I92" s="65"/>
      <c r="J92" s="73" t="n">
        <f aca="false">SUM(E92:I92)</f>
        <v>320</v>
      </c>
      <c r="K92" s="67"/>
      <c r="L92" s="67"/>
      <c r="M92" s="67"/>
      <c r="N92" s="67"/>
      <c r="O92" s="67"/>
      <c r="P92" s="66"/>
    </row>
    <row r="93" customFormat="false" ht="14.25" hidden="false" customHeight="false" outlineLevel="0" collapsed="false">
      <c r="B93" s="68"/>
      <c r="C93" s="68"/>
      <c r="D93" s="71" t="s">
        <v>45</v>
      </c>
      <c r="E93" s="65" t="n">
        <v>100</v>
      </c>
      <c r="F93" s="65" t="n">
        <v>120</v>
      </c>
      <c r="G93" s="65" t="n">
        <v>100</v>
      </c>
      <c r="H93" s="65"/>
      <c r="I93" s="65"/>
      <c r="J93" s="73" t="n">
        <f aca="false">SUM(E93:I93)</f>
        <v>320</v>
      </c>
      <c r="K93" s="67"/>
      <c r="L93" s="67"/>
      <c r="M93" s="67"/>
      <c r="N93" s="67"/>
      <c r="O93" s="67"/>
      <c r="P93" s="66"/>
    </row>
    <row r="94" customFormat="false" ht="14.25" hidden="false" customHeight="true" outlineLevel="0" collapsed="false">
      <c r="B94" s="68"/>
      <c r="C94" s="68" t="s">
        <v>212</v>
      </c>
      <c r="D94" s="71" t="s">
        <v>47</v>
      </c>
      <c r="E94" s="65" t="n">
        <v>100</v>
      </c>
      <c r="F94" s="65" t="n">
        <v>120</v>
      </c>
      <c r="G94" s="65" t="n">
        <v>100</v>
      </c>
      <c r="H94" s="65"/>
      <c r="I94" s="65"/>
      <c r="J94" s="73" t="n">
        <f aca="false">SUM(E94:I94)</f>
        <v>320</v>
      </c>
      <c r="K94" s="67"/>
      <c r="L94" s="67"/>
      <c r="M94" s="67"/>
      <c r="N94" s="67"/>
      <c r="O94" s="67"/>
      <c r="P94" s="66"/>
    </row>
    <row r="95" customFormat="false" ht="14.25" hidden="false" customHeight="false" outlineLevel="0" collapsed="false">
      <c r="B95" s="68"/>
      <c r="C95" s="68"/>
      <c r="D95" s="71" t="s">
        <v>48</v>
      </c>
      <c r="E95" s="65" t="n">
        <v>100</v>
      </c>
      <c r="F95" s="65" t="n">
        <v>120</v>
      </c>
      <c r="G95" s="65" t="n">
        <v>100</v>
      </c>
      <c r="H95" s="65"/>
      <c r="I95" s="65"/>
      <c r="J95" s="73" t="n">
        <f aca="false">SUM(E95:I95)</f>
        <v>320</v>
      </c>
      <c r="K95" s="67"/>
      <c r="L95" s="67"/>
      <c r="M95" s="67"/>
      <c r="N95" s="67"/>
      <c r="O95" s="67"/>
      <c r="P95" s="66"/>
    </row>
    <row r="96" customFormat="false" ht="14.25" hidden="false" customHeight="false" outlineLevel="0" collapsed="false">
      <c r="B96" s="68"/>
      <c r="C96" s="68"/>
      <c r="D96" s="71" t="s">
        <v>49</v>
      </c>
      <c r="E96" s="65" t="n">
        <v>100</v>
      </c>
      <c r="F96" s="65" t="n">
        <v>120</v>
      </c>
      <c r="G96" s="65" t="n">
        <v>100</v>
      </c>
      <c r="H96" s="65"/>
      <c r="I96" s="65"/>
      <c r="J96" s="73" t="n">
        <f aca="false">SUM(E96:I96)</f>
        <v>320</v>
      </c>
      <c r="K96" s="67"/>
      <c r="L96" s="67"/>
      <c r="M96" s="67"/>
      <c r="N96" s="67"/>
      <c r="O96" s="67"/>
      <c r="P96" s="66"/>
    </row>
    <row r="97" customFormat="false" ht="14.25" hidden="false" customHeight="true" outlineLevel="0" collapsed="false">
      <c r="B97" s="68"/>
      <c r="C97" s="77" t="s">
        <v>213</v>
      </c>
      <c r="D97" s="71"/>
      <c r="E97" s="65"/>
      <c r="F97" s="65"/>
      <c r="G97" s="65"/>
      <c r="H97" s="65"/>
      <c r="I97" s="65"/>
      <c r="J97" s="73" t="n">
        <f aca="false">SUM(E97:I97)</f>
        <v>0</v>
      </c>
      <c r="K97" s="67"/>
      <c r="L97" s="67"/>
      <c r="M97" s="67"/>
      <c r="N97" s="67"/>
      <c r="O97" s="67"/>
      <c r="P97" s="66"/>
    </row>
    <row r="98" customFormat="false" ht="14.25" hidden="false" customHeight="false" outlineLevel="0" collapsed="false">
      <c r="B98" s="68"/>
      <c r="C98" s="78"/>
      <c r="D98" s="71"/>
      <c r="E98" s="65"/>
      <c r="F98" s="65"/>
      <c r="G98" s="65"/>
      <c r="H98" s="65"/>
      <c r="I98" s="65"/>
      <c r="J98" s="73" t="n">
        <f aca="false">SUM(E98:I98)</f>
        <v>0</v>
      </c>
      <c r="K98" s="67"/>
      <c r="L98" s="67"/>
      <c r="M98" s="67"/>
      <c r="N98" s="67"/>
      <c r="O98" s="67"/>
      <c r="P98" s="66"/>
    </row>
    <row r="99" customFormat="false" ht="14.25" hidden="false" customHeight="false" outlineLevel="0" collapsed="false">
      <c r="B99" s="68"/>
      <c r="C99" s="79"/>
      <c r="D99" s="71"/>
      <c r="E99" s="65"/>
      <c r="F99" s="65"/>
      <c r="G99" s="65"/>
      <c r="H99" s="65"/>
      <c r="I99" s="65"/>
      <c r="J99" s="73" t="n">
        <f aca="false">SUM(E99:I99)</f>
        <v>0</v>
      </c>
      <c r="K99" s="67"/>
      <c r="L99" s="67"/>
      <c r="M99" s="67"/>
      <c r="N99" s="67"/>
      <c r="O99" s="67"/>
      <c r="P99" s="66"/>
    </row>
    <row r="100" customFormat="false" ht="14.25" hidden="false" customHeight="true" outlineLevel="0" collapsed="false">
      <c r="B100" s="68"/>
      <c r="C100" s="77" t="s">
        <v>213</v>
      </c>
      <c r="D100" s="71"/>
      <c r="E100" s="65"/>
      <c r="F100" s="65"/>
      <c r="G100" s="65"/>
      <c r="H100" s="65"/>
      <c r="I100" s="65"/>
      <c r="J100" s="73" t="n">
        <f aca="false">SUM(E100:I100)</f>
        <v>0</v>
      </c>
      <c r="K100" s="67"/>
      <c r="L100" s="67"/>
      <c r="M100" s="67"/>
      <c r="N100" s="67"/>
      <c r="O100" s="67"/>
      <c r="P100" s="66"/>
    </row>
    <row r="101" customFormat="false" ht="14.25" hidden="false" customHeight="false" outlineLevel="0" collapsed="false">
      <c r="B101" s="68"/>
      <c r="C101" s="78"/>
      <c r="D101" s="71"/>
      <c r="E101" s="65"/>
      <c r="F101" s="65"/>
      <c r="G101" s="65"/>
      <c r="H101" s="65"/>
      <c r="I101" s="65"/>
      <c r="J101" s="73" t="n">
        <f aca="false">SUM(E101:I101)</f>
        <v>0</v>
      </c>
      <c r="K101" s="67"/>
      <c r="L101" s="67"/>
      <c r="M101" s="67"/>
      <c r="N101" s="67"/>
      <c r="O101" s="67"/>
      <c r="P101" s="66"/>
    </row>
    <row r="102" customFormat="false" ht="14.25" hidden="false" customHeight="false" outlineLevel="0" collapsed="false">
      <c r="B102" s="68"/>
      <c r="C102" s="79"/>
      <c r="D102" s="71"/>
      <c r="E102" s="65"/>
      <c r="F102" s="65"/>
      <c r="G102" s="65"/>
      <c r="H102" s="65"/>
      <c r="I102" s="65"/>
      <c r="J102" s="73" t="n">
        <f aca="false">SUM(E102:I102)</f>
        <v>0</v>
      </c>
      <c r="K102" s="67"/>
      <c r="L102" s="67"/>
      <c r="M102" s="67"/>
      <c r="N102" s="67"/>
      <c r="O102" s="67"/>
      <c r="P102" s="66"/>
    </row>
    <row r="103" customFormat="false" ht="14.25" hidden="false" customHeight="true" outlineLevel="0" collapsed="false">
      <c r="B103" s="68"/>
      <c r="C103" s="77" t="s">
        <v>213</v>
      </c>
      <c r="D103" s="71"/>
      <c r="E103" s="65"/>
      <c r="F103" s="65"/>
      <c r="G103" s="65"/>
      <c r="H103" s="65"/>
      <c r="I103" s="65"/>
      <c r="J103" s="73" t="n">
        <f aca="false">SUM(E103:I103)</f>
        <v>0</v>
      </c>
      <c r="K103" s="67"/>
      <c r="L103" s="67"/>
      <c r="M103" s="67"/>
      <c r="N103" s="67"/>
      <c r="O103" s="67"/>
      <c r="P103" s="66"/>
    </row>
    <row r="104" customFormat="false" ht="14.25" hidden="false" customHeight="false" outlineLevel="0" collapsed="false">
      <c r="B104" s="68"/>
      <c r="C104" s="78"/>
      <c r="D104" s="71"/>
      <c r="E104" s="65"/>
      <c r="F104" s="65"/>
      <c r="G104" s="65"/>
      <c r="H104" s="65"/>
      <c r="I104" s="65"/>
      <c r="J104" s="73" t="n">
        <f aca="false">SUM(E104:I104)</f>
        <v>0</v>
      </c>
      <c r="K104" s="67"/>
      <c r="L104" s="67"/>
      <c r="M104" s="67"/>
      <c r="N104" s="67"/>
      <c r="O104" s="67"/>
      <c r="P104" s="66"/>
    </row>
    <row r="105" customFormat="false" ht="14.25" hidden="false" customHeight="false" outlineLevel="0" collapsed="false">
      <c r="B105" s="68"/>
      <c r="C105" s="79"/>
      <c r="D105" s="71"/>
      <c r="E105" s="65"/>
      <c r="F105" s="65"/>
      <c r="G105" s="65"/>
      <c r="H105" s="65"/>
      <c r="I105" s="65"/>
      <c r="J105" s="73" t="n">
        <f aca="false">SUM(E105:I105)</f>
        <v>0</v>
      </c>
      <c r="K105" s="67"/>
      <c r="L105" s="67"/>
      <c r="M105" s="67"/>
      <c r="N105" s="67"/>
      <c r="O105" s="67"/>
      <c r="P105" s="66"/>
    </row>
    <row r="106" customFormat="false" ht="16.4" hidden="false" customHeight="false" outlineLevel="0" collapsed="false">
      <c r="B106" s="68"/>
      <c r="C106" s="77" t="s">
        <v>213</v>
      </c>
      <c r="D106" s="71"/>
      <c r="E106" s="65"/>
      <c r="F106" s="65"/>
      <c r="G106" s="65"/>
      <c r="H106" s="65"/>
      <c r="I106" s="65"/>
      <c r="J106" s="73" t="n">
        <f aca="false">SUM(E106:I106)</f>
        <v>0</v>
      </c>
      <c r="K106" s="67"/>
      <c r="L106" s="67"/>
      <c r="M106" s="67"/>
      <c r="N106" s="67"/>
      <c r="O106" s="67"/>
      <c r="P106" s="66"/>
    </row>
    <row r="107" customFormat="false" ht="14.25" hidden="false" customHeight="false" outlineLevel="0" collapsed="false">
      <c r="B107" s="68"/>
      <c r="C107" s="78"/>
      <c r="D107" s="71"/>
      <c r="E107" s="65"/>
      <c r="F107" s="65"/>
      <c r="G107" s="65"/>
      <c r="H107" s="65"/>
      <c r="I107" s="65"/>
      <c r="J107" s="73" t="n">
        <f aca="false">SUM(E107:I107)</f>
        <v>0</v>
      </c>
      <c r="K107" s="67"/>
      <c r="L107" s="67"/>
      <c r="M107" s="67"/>
      <c r="N107" s="67"/>
      <c r="O107" s="67"/>
      <c r="P107" s="66"/>
    </row>
    <row r="108" customFormat="false" ht="14.25" hidden="false" customHeight="false" outlineLevel="0" collapsed="false">
      <c r="B108" s="68"/>
      <c r="C108" s="79"/>
      <c r="D108" s="71"/>
      <c r="E108" s="65"/>
      <c r="F108" s="65"/>
      <c r="G108" s="65"/>
      <c r="H108" s="65"/>
      <c r="I108" s="65"/>
      <c r="J108" s="73" t="n">
        <f aca="false">SUM(E108:I108)</f>
        <v>0</v>
      </c>
      <c r="K108" s="67"/>
      <c r="L108" s="67"/>
      <c r="M108" s="67"/>
      <c r="N108" s="67"/>
      <c r="O108" s="67"/>
      <c r="P108" s="66"/>
    </row>
    <row r="109" customFormat="false" ht="14.25" hidden="false" customHeight="false" outlineLevel="0" collapsed="false">
      <c r="B109" s="71" t="s">
        <v>214</v>
      </c>
      <c r="C109" s="71"/>
      <c r="D109" s="71"/>
      <c r="E109" s="65" t="n">
        <f aca="false">SUM(E88:E108)</f>
        <v>900</v>
      </c>
      <c r="F109" s="65" t="n">
        <f aca="false">SUM(F88:F108)</f>
        <v>1080</v>
      </c>
      <c r="G109" s="65" t="n">
        <f aca="false">SUM(G88:G108)</f>
        <v>900</v>
      </c>
      <c r="H109" s="65" t="n">
        <f aca="false">SUM(H88:H108)</f>
        <v>0</v>
      </c>
      <c r="I109" s="65" t="n">
        <f aca="false">SUM(I88:I108)</f>
        <v>0</v>
      </c>
      <c r="J109" s="73" t="n">
        <f aca="false">SUM(E109:I109)</f>
        <v>2880</v>
      </c>
      <c r="K109" s="67"/>
      <c r="L109" s="67"/>
      <c r="M109" s="67"/>
      <c r="N109" s="67"/>
      <c r="O109" s="67"/>
      <c r="P109" s="66"/>
    </row>
    <row r="110" customFormat="false" ht="14.25" hidden="false" customHeight="false" outlineLevel="0" collapsed="false">
      <c r="B110" s="71" t="s">
        <v>215</v>
      </c>
      <c r="C110" s="71"/>
      <c r="D110" s="71"/>
      <c r="E110" s="65" t="n">
        <f aca="false">SUM(E88:E108)*$C$82/2</f>
        <v>22500</v>
      </c>
      <c r="F110" s="65" t="n">
        <f aca="false">SUM(F88:F108)*$C$83</f>
        <v>108000</v>
      </c>
      <c r="G110" s="65" t="n">
        <f aca="false">SUM(G88:G108)*$C$84</f>
        <v>450000</v>
      </c>
      <c r="H110" s="65" t="n">
        <f aca="false">SUM(H88:H108)</f>
        <v>0</v>
      </c>
      <c r="I110" s="65" t="n">
        <f aca="false">SUM(I88:I108)</f>
        <v>0</v>
      </c>
      <c r="J110" s="73" t="n">
        <f aca="false">SUM(E110:I110)</f>
        <v>580500</v>
      </c>
      <c r="K110" s="67"/>
      <c r="L110" s="67"/>
      <c r="M110" s="67"/>
      <c r="N110" s="67"/>
      <c r="O110" s="67"/>
      <c r="P110" s="66"/>
    </row>
    <row r="111" customFormat="false" ht="14.25" hidden="false" customHeight="true" outlineLevel="0" collapsed="false">
      <c r="B111" s="68" t="s">
        <v>216</v>
      </c>
      <c r="C111" s="68" t="s">
        <v>38</v>
      </c>
      <c r="D111" s="71" t="s">
        <v>39</v>
      </c>
      <c r="E111" s="65" t="n">
        <v>100</v>
      </c>
      <c r="F111" s="65" t="n">
        <v>120</v>
      </c>
      <c r="G111" s="65" t="n">
        <v>100</v>
      </c>
      <c r="H111" s="65"/>
      <c r="I111" s="65"/>
      <c r="J111" s="73" t="n">
        <f aca="false">SUM(E111:I111)</f>
        <v>320</v>
      </c>
      <c r="K111" s="67"/>
      <c r="L111" s="67"/>
      <c r="M111" s="67"/>
      <c r="N111" s="67"/>
      <c r="O111" s="67"/>
      <c r="P111" s="66"/>
    </row>
    <row r="112" customFormat="false" ht="14.25" hidden="false" customHeight="false" outlineLevel="0" collapsed="false">
      <c r="B112" s="68"/>
      <c r="C112" s="68"/>
      <c r="D112" s="71" t="s">
        <v>40</v>
      </c>
      <c r="E112" s="65" t="n">
        <v>100</v>
      </c>
      <c r="F112" s="65" t="n">
        <v>120</v>
      </c>
      <c r="G112" s="65" t="n">
        <v>100</v>
      </c>
      <c r="H112" s="65"/>
      <c r="I112" s="65"/>
      <c r="J112" s="73" t="n">
        <f aca="false">SUM(E112:I112)</f>
        <v>320</v>
      </c>
      <c r="K112" s="67"/>
      <c r="L112" s="67"/>
      <c r="M112" s="67"/>
      <c r="N112" s="67"/>
      <c r="O112" s="67"/>
      <c r="P112" s="66"/>
    </row>
    <row r="113" customFormat="false" ht="14.25" hidden="false" customHeight="false" outlineLevel="0" collapsed="false">
      <c r="B113" s="68"/>
      <c r="C113" s="68"/>
      <c r="D113" s="71" t="s">
        <v>41</v>
      </c>
      <c r="E113" s="65" t="n">
        <v>100</v>
      </c>
      <c r="F113" s="65" t="n">
        <v>120</v>
      </c>
      <c r="G113" s="65" t="n">
        <v>100</v>
      </c>
      <c r="H113" s="65"/>
      <c r="I113" s="65"/>
      <c r="J113" s="73" t="n">
        <f aca="false">SUM(E113:I113)</f>
        <v>320</v>
      </c>
      <c r="K113" s="67"/>
      <c r="L113" s="67"/>
      <c r="M113" s="67"/>
      <c r="N113" s="67"/>
      <c r="O113" s="67"/>
      <c r="P113" s="66"/>
    </row>
    <row r="114" customFormat="false" ht="14.25" hidden="false" customHeight="true" outlineLevel="0" collapsed="false">
      <c r="B114" s="68"/>
      <c r="C114" s="68" t="s">
        <v>42</v>
      </c>
      <c r="D114" s="71" t="s">
        <v>43</v>
      </c>
      <c r="E114" s="65" t="n">
        <v>100</v>
      </c>
      <c r="F114" s="65" t="n">
        <v>120</v>
      </c>
      <c r="G114" s="65" t="n">
        <v>100</v>
      </c>
      <c r="H114" s="65"/>
      <c r="I114" s="65"/>
      <c r="J114" s="73" t="n">
        <f aca="false">SUM(E114:I114)</f>
        <v>320</v>
      </c>
      <c r="K114" s="67"/>
      <c r="L114" s="67"/>
      <c r="M114" s="67"/>
      <c r="N114" s="67"/>
      <c r="O114" s="67"/>
      <c r="P114" s="66"/>
    </row>
    <row r="115" customFormat="false" ht="14.25" hidden="false" customHeight="false" outlineLevel="0" collapsed="false">
      <c r="B115" s="68"/>
      <c r="C115" s="68"/>
      <c r="D115" s="71" t="s">
        <v>44</v>
      </c>
      <c r="E115" s="65" t="n">
        <v>100</v>
      </c>
      <c r="F115" s="65" t="n">
        <v>120</v>
      </c>
      <c r="G115" s="65" t="n">
        <v>100</v>
      </c>
      <c r="H115" s="65"/>
      <c r="I115" s="65"/>
      <c r="J115" s="73" t="n">
        <f aca="false">SUM(E115:I115)</f>
        <v>320</v>
      </c>
      <c r="K115" s="67"/>
      <c r="L115" s="67"/>
      <c r="M115" s="67"/>
      <c r="N115" s="67"/>
      <c r="O115" s="67"/>
      <c r="P115" s="66"/>
    </row>
    <row r="116" customFormat="false" ht="14.25" hidden="false" customHeight="false" outlineLevel="0" collapsed="false">
      <c r="B116" s="68"/>
      <c r="C116" s="68"/>
      <c r="D116" s="71" t="s">
        <v>45</v>
      </c>
      <c r="E116" s="65" t="n">
        <v>100</v>
      </c>
      <c r="F116" s="65" t="n">
        <v>120</v>
      </c>
      <c r="G116" s="65" t="n">
        <v>100</v>
      </c>
      <c r="H116" s="65"/>
      <c r="I116" s="65"/>
      <c r="J116" s="73" t="n">
        <f aca="false">SUM(E116:I116)</f>
        <v>320</v>
      </c>
      <c r="K116" s="67"/>
      <c r="L116" s="67"/>
      <c r="M116" s="67"/>
      <c r="N116" s="67"/>
      <c r="O116" s="67"/>
      <c r="P116" s="66"/>
    </row>
    <row r="117" customFormat="false" ht="14.25" hidden="false" customHeight="true" outlineLevel="0" collapsed="false">
      <c r="B117" s="68"/>
      <c r="C117" s="68" t="s">
        <v>46</v>
      </c>
      <c r="D117" s="71" t="s">
        <v>47</v>
      </c>
      <c r="E117" s="65" t="n">
        <v>100</v>
      </c>
      <c r="F117" s="65" t="n">
        <v>120</v>
      </c>
      <c r="G117" s="65" t="n">
        <v>100</v>
      </c>
      <c r="H117" s="65"/>
      <c r="I117" s="65"/>
      <c r="J117" s="73" t="n">
        <f aca="false">SUM(E117:I117)</f>
        <v>320</v>
      </c>
      <c r="K117" s="67"/>
      <c r="L117" s="67"/>
      <c r="M117" s="67"/>
      <c r="N117" s="67"/>
      <c r="O117" s="67"/>
      <c r="P117" s="66"/>
    </row>
    <row r="118" customFormat="false" ht="14.25" hidden="false" customHeight="false" outlineLevel="0" collapsed="false">
      <c r="B118" s="68"/>
      <c r="C118" s="68"/>
      <c r="D118" s="71" t="s">
        <v>48</v>
      </c>
      <c r="E118" s="65" t="n">
        <v>100</v>
      </c>
      <c r="F118" s="65" t="n">
        <v>120</v>
      </c>
      <c r="G118" s="65" t="n">
        <v>100</v>
      </c>
      <c r="H118" s="65"/>
      <c r="I118" s="65"/>
      <c r="J118" s="73" t="n">
        <f aca="false">SUM(E118:I118)</f>
        <v>320</v>
      </c>
      <c r="K118" s="67"/>
      <c r="L118" s="67"/>
      <c r="M118" s="67"/>
      <c r="N118" s="67"/>
      <c r="O118" s="67"/>
      <c r="P118" s="66"/>
    </row>
    <row r="119" customFormat="false" ht="14.25" hidden="false" customHeight="false" outlineLevel="0" collapsed="false">
      <c r="B119" s="68"/>
      <c r="C119" s="68"/>
      <c r="D119" s="71" t="s">
        <v>49</v>
      </c>
      <c r="E119" s="65" t="n">
        <v>100</v>
      </c>
      <c r="F119" s="65" t="n">
        <v>120</v>
      </c>
      <c r="G119" s="65" t="n">
        <v>100</v>
      </c>
      <c r="H119" s="65"/>
      <c r="I119" s="65"/>
      <c r="J119" s="73" t="n">
        <f aca="false">SUM(E119:I119)</f>
        <v>320</v>
      </c>
      <c r="K119" s="67"/>
      <c r="L119" s="67"/>
      <c r="M119" s="67"/>
      <c r="N119" s="67"/>
      <c r="O119" s="67"/>
      <c r="P119" s="66"/>
    </row>
    <row r="120" customFormat="false" ht="14.25" hidden="false" customHeight="true" outlineLevel="0" collapsed="false">
      <c r="B120" s="68"/>
      <c r="C120" s="77" t="s">
        <v>213</v>
      </c>
      <c r="D120" s="71"/>
      <c r="E120" s="65"/>
      <c r="F120" s="65"/>
      <c r="G120" s="65"/>
      <c r="H120" s="65"/>
      <c r="I120" s="65"/>
      <c r="J120" s="73" t="n">
        <f aca="false">SUM(E120:I120)</f>
        <v>0</v>
      </c>
      <c r="K120" s="67"/>
      <c r="L120" s="67"/>
      <c r="M120" s="67"/>
      <c r="N120" s="67"/>
      <c r="O120" s="67"/>
      <c r="P120" s="66"/>
    </row>
    <row r="121" customFormat="false" ht="14.25" hidden="false" customHeight="false" outlineLevel="0" collapsed="false">
      <c r="B121" s="68"/>
      <c r="C121" s="78"/>
      <c r="D121" s="71"/>
      <c r="E121" s="65"/>
      <c r="F121" s="65"/>
      <c r="G121" s="65"/>
      <c r="H121" s="65"/>
      <c r="I121" s="65"/>
      <c r="J121" s="73" t="n">
        <f aca="false">SUM(E121:I121)</f>
        <v>0</v>
      </c>
      <c r="K121" s="67"/>
      <c r="L121" s="67"/>
      <c r="M121" s="67"/>
      <c r="N121" s="67"/>
      <c r="O121" s="67"/>
      <c r="P121" s="66"/>
    </row>
    <row r="122" customFormat="false" ht="14.25" hidden="false" customHeight="false" outlineLevel="0" collapsed="false">
      <c r="B122" s="68"/>
      <c r="C122" s="79"/>
      <c r="D122" s="71"/>
      <c r="E122" s="65"/>
      <c r="F122" s="65"/>
      <c r="G122" s="65"/>
      <c r="H122" s="65"/>
      <c r="I122" s="65"/>
      <c r="J122" s="73" t="n">
        <f aca="false">SUM(E122:I122)</f>
        <v>0</v>
      </c>
      <c r="K122" s="67"/>
      <c r="L122" s="67"/>
      <c r="M122" s="67"/>
      <c r="N122" s="67"/>
      <c r="O122" s="67"/>
      <c r="P122" s="66"/>
    </row>
    <row r="123" customFormat="false" ht="14.25" hidden="false" customHeight="true" outlineLevel="0" collapsed="false">
      <c r="B123" s="68"/>
      <c r="C123" s="77" t="s">
        <v>213</v>
      </c>
      <c r="D123" s="71"/>
      <c r="E123" s="65"/>
      <c r="F123" s="65"/>
      <c r="G123" s="65"/>
      <c r="H123" s="65"/>
      <c r="I123" s="65"/>
      <c r="J123" s="73" t="n">
        <f aca="false">SUM(E123:I123)</f>
        <v>0</v>
      </c>
      <c r="K123" s="67"/>
      <c r="L123" s="67"/>
      <c r="M123" s="67"/>
      <c r="N123" s="67"/>
      <c r="O123" s="67"/>
      <c r="P123" s="66"/>
    </row>
    <row r="124" customFormat="false" ht="14.25" hidden="false" customHeight="false" outlineLevel="0" collapsed="false">
      <c r="B124" s="68"/>
      <c r="C124" s="78"/>
      <c r="D124" s="71"/>
      <c r="E124" s="65"/>
      <c r="F124" s="65"/>
      <c r="G124" s="65"/>
      <c r="H124" s="65"/>
      <c r="I124" s="65"/>
      <c r="J124" s="73" t="n">
        <f aca="false">SUM(E124:I124)</f>
        <v>0</v>
      </c>
      <c r="K124" s="67"/>
      <c r="L124" s="67"/>
      <c r="M124" s="67"/>
      <c r="N124" s="67"/>
      <c r="O124" s="67"/>
      <c r="P124" s="66"/>
    </row>
    <row r="125" customFormat="false" ht="14.25" hidden="false" customHeight="false" outlineLevel="0" collapsed="false">
      <c r="B125" s="68"/>
      <c r="C125" s="79"/>
      <c r="D125" s="71"/>
      <c r="E125" s="65"/>
      <c r="F125" s="65"/>
      <c r="G125" s="65"/>
      <c r="H125" s="65"/>
      <c r="I125" s="65"/>
      <c r="J125" s="73" t="n">
        <f aca="false">SUM(E125:I125)</f>
        <v>0</v>
      </c>
      <c r="K125" s="67"/>
      <c r="L125" s="67"/>
      <c r="M125" s="67"/>
      <c r="N125" s="67"/>
      <c r="O125" s="67"/>
      <c r="P125" s="66"/>
    </row>
    <row r="126" customFormat="false" ht="14.25" hidden="false" customHeight="true" outlineLevel="0" collapsed="false">
      <c r="B126" s="68"/>
      <c r="C126" s="77" t="s">
        <v>213</v>
      </c>
      <c r="D126" s="71"/>
      <c r="E126" s="65"/>
      <c r="F126" s="65"/>
      <c r="G126" s="65"/>
      <c r="H126" s="65"/>
      <c r="I126" s="65"/>
      <c r="J126" s="73" t="n">
        <f aca="false">SUM(E126:I126)</f>
        <v>0</v>
      </c>
      <c r="K126" s="67"/>
      <c r="L126" s="67"/>
      <c r="M126" s="67"/>
      <c r="N126" s="67"/>
      <c r="O126" s="67"/>
      <c r="P126" s="66"/>
    </row>
    <row r="127" customFormat="false" ht="14.25" hidden="false" customHeight="false" outlineLevel="0" collapsed="false">
      <c r="B127" s="68"/>
      <c r="C127" s="78"/>
      <c r="D127" s="71"/>
      <c r="E127" s="65"/>
      <c r="F127" s="65"/>
      <c r="G127" s="65"/>
      <c r="H127" s="65"/>
      <c r="I127" s="65"/>
      <c r="J127" s="73" t="n">
        <f aca="false">SUM(E127:I127)</f>
        <v>0</v>
      </c>
      <c r="K127" s="67"/>
      <c r="L127" s="67"/>
      <c r="M127" s="67"/>
      <c r="N127" s="67"/>
      <c r="O127" s="67"/>
      <c r="P127" s="66"/>
    </row>
    <row r="128" customFormat="false" ht="14.25" hidden="false" customHeight="false" outlineLevel="0" collapsed="false">
      <c r="B128" s="68"/>
      <c r="C128" s="79"/>
      <c r="D128" s="71"/>
      <c r="E128" s="65"/>
      <c r="F128" s="65"/>
      <c r="G128" s="65"/>
      <c r="H128" s="65"/>
      <c r="I128" s="65"/>
      <c r="J128" s="73" t="n">
        <f aca="false">SUM(E128:I128)</f>
        <v>0</v>
      </c>
      <c r="K128" s="67"/>
      <c r="L128" s="67"/>
      <c r="M128" s="67"/>
      <c r="N128" s="67"/>
      <c r="O128" s="67"/>
      <c r="P128" s="66"/>
    </row>
    <row r="129" customFormat="false" ht="16.4" hidden="false" customHeight="false" outlineLevel="0" collapsed="false">
      <c r="B129" s="68"/>
      <c r="C129" s="77" t="s">
        <v>213</v>
      </c>
      <c r="D129" s="71"/>
      <c r="E129" s="65"/>
      <c r="F129" s="65"/>
      <c r="G129" s="65"/>
      <c r="H129" s="65"/>
      <c r="I129" s="65"/>
      <c r="J129" s="73" t="n">
        <f aca="false">SUM(E129:I129)</f>
        <v>0</v>
      </c>
      <c r="K129" s="67"/>
      <c r="L129" s="67"/>
      <c r="M129" s="67"/>
      <c r="N129" s="67"/>
      <c r="O129" s="67"/>
      <c r="P129" s="66"/>
    </row>
    <row r="130" customFormat="false" ht="14.25" hidden="false" customHeight="false" outlineLevel="0" collapsed="false">
      <c r="B130" s="68"/>
      <c r="C130" s="78"/>
      <c r="D130" s="71"/>
      <c r="E130" s="65"/>
      <c r="F130" s="65"/>
      <c r="G130" s="65"/>
      <c r="H130" s="65"/>
      <c r="I130" s="65"/>
      <c r="J130" s="73" t="n">
        <f aca="false">SUM(E130:I130)</f>
        <v>0</v>
      </c>
      <c r="K130" s="67"/>
      <c r="L130" s="67"/>
      <c r="M130" s="67"/>
      <c r="N130" s="67"/>
      <c r="O130" s="67"/>
      <c r="P130" s="66"/>
    </row>
    <row r="131" customFormat="false" ht="14.25" hidden="false" customHeight="false" outlineLevel="0" collapsed="false">
      <c r="B131" s="68"/>
      <c r="C131" s="79"/>
      <c r="D131" s="71"/>
      <c r="E131" s="65"/>
      <c r="F131" s="65"/>
      <c r="G131" s="65"/>
      <c r="H131" s="65"/>
      <c r="I131" s="65"/>
      <c r="J131" s="73" t="n">
        <f aca="false">SUM(E131:I131)</f>
        <v>0</v>
      </c>
      <c r="K131" s="67"/>
      <c r="L131" s="67"/>
      <c r="M131" s="67"/>
      <c r="N131" s="67"/>
      <c r="O131" s="67"/>
      <c r="P131" s="66"/>
    </row>
    <row r="132" customFormat="false" ht="14.25" hidden="false" customHeight="false" outlineLevel="0" collapsed="false">
      <c r="B132" s="71" t="s">
        <v>217</v>
      </c>
      <c r="C132" s="71"/>
      <c r="D132" s="71"/>
      <c r="E132" s="65" t="n">
        <f aca="false">SUM(E111:E131)</f>
        <v>900</v>
      </c>
      <c r="F132" s="65" t="n">
        <f aca="false">SUM(F111:F131)</f>
        <v>1080</v>
      </c>
      <c r="G132" s="65" t="n">
        <f aca="false">SUM(G111:G131)</f>
        <v>900</v>
      </c>
      <c r="H132" s="65" t="n">
        <f aca="false">SUM(H111:H131)</f>
        <v>0</v>
      </c>
      <c r="I132" s="65" t="n">
        <f aca="false">SUM(I111:I131)</f>
        <v>0</v>
      </c>
      <c r="J132" s="73" t="n">
        <f aca="false">SUM(E132:I132)</f>
        <v>2880</v>
      </c>
      <c r="K132" s="67"/>
      <c r="L132" s="67"/>
      <c r="M132" s="67"/>
      <c r="N132" s="67"/>
      <c r="O132" s="67"/>
      <c r="P132" s="66"/>
    </row>
    <row r="133" customFormat="false" ht="14.25" hidden="false" customHeight="false" outlineLevel="0" collapsed="false">
      <c r="B133" s="71" t="s">
        <v>218</v>
      </c>
      <c r="C133" s="71"/>
      <c r="D133" s="71"/>
      <c r="E133" s="65" t="n">
        <f aca="false">SUM(E111:E131)*$C$82/2</f>
        <v>22500</v>
      </c>
      <c r="F133" s="65" t="n">
        <f aca="false">SUM(F111:F131)*$C$83</f>
        <v>108000</v>
      </c>
      <c r="G133" s="65" t="n">
        <f aca="false">SUM(G111:G131)*$C$84</f>
        <v>450000</v>
      </c>
      <c r="H133" s="65" t="n">
        <f aca="false">SUM(H111:H131)</f>
        <v>0</v>
      </c>
      <c r="I133" s="65" t="n">
        <f aca="false">SUM(I111:I131)</f>
        <v>0</v>
      </c>
      <c r="J133" s="73" t="n">
        <f aca="false">SUM(E133:I133)</f>
        <v>580500</v>
      </c>
      <c r="K133" s="67"/>
      <c r="L133" s="67"/>
      <c r="M133" s="67"/>
      <c r="N133" s="67"/>
      <c r="O133" s="67"/>
      <c r="P133" s="66"/>
    </row>
    <row r="134" customFormat="false" ht="14.25" hidden="false" customHeight="true" outlineLevel="0" collapsed="false">
      <c r="B134" s="68" t="s">
        <v>219</v>
      </c>
      <c r="C134" s="68" t="s">
        <v>38</v>
      </c>
      <c r="D134" s="71" t="s">
        <v>39</v>
      </c>
      <c r="E134" s="65" t="n">
        <v>100</v>
      </c>
      <c r="F134" s="65" t="n">
        <v>120</v>
      </c>
      <c r="G134" s="65" t="n">
        <v>100</v>
      </c>
      <c r="H134" s="65"/>
      <c r="I134" s="65"/>
      <c r="J134" s="73" t="n">
        <f aca="false">SUM(E134:I134)</f>
        <v>320</v>
      </c>
      <c r="K134" s="67"/>
      <c r="L134" s="67"/>
      <c r="M134" s="67"/>
      <c r="N134" s="67"/>
      <c r="O134" s="67"/>
      <c r="P134" s="66"/>
    </row>
    <row r="135" customFormat="false" ht="14.25" hidden="false" customHeight="false" outlineLevel="0" collapsed="false">
      <c r="B135" s="68"/>
      <c r="C135" s="68"/>
      <c r="D135" s="71" t="s">
        <v>40</v>
      </c>
      <c r="E135" s="65" t="n">
        <v>100</v>
      </c>
      <c r="F135" s="65" t="n">
        <v>120</v>
      </c>
      <c r="G135" s="65" t="n">
        <v>100</v>
      </c>
      <c r="H135" s="65"/>
      <c r="I135" s="65"/>
      <c r="J135" s="73" t="n">
        <f aca="false">SUM(E135:I135)</f>
        <v>320</v>
      </c>
      <c r="K135" s="67"/>
      <c r="L135" s="67"/>
      <c r="M135" s="67"/>
      <c r="N135" s="67"/>
      <c r="O135" s="67"/>
      <c r="P135" s="66"/>
    </row>
    <row r="136" customFormat="false" ht="14.25" hidden="false" customHeight="false" outlineLevel="0" collapsed="false">
      <c r="B136" s="68"/>
      <c r="C136" s="68"/>
      <c r="D136" s="71" t="s">
        <v>41</v>
      </c>
      <c r="E136" s="65" t="n">
        <v>100</v>
      </c>
      <c r="F136" s="65" t="n">
        <v>120</v>
      </c>
      <c r="G136" s="65" t="n">
        <v>100</v>
      </c>
      <c r="H136" s="65"/>
      <c r="I136" s="65"/>
      <c r="J136" s="73" t="n">
        <f aca="false">SUM(E136:I136)</f>
        <v>320</v>
      </c>
      <c r="K136" s="67"/>
      <c r="L136" s="67"/>
      <c r="M136" s="67"/>
      <c r="N136" s="67"/>
      <c r="O136" s="67"/>
      <c r="P136" s="66"/>
    </row>
    <row r="137" customFormat="false" ht="14.25" hidden="false" customHeight="true" outlineLevel="0" collapsed="false">
      <c r="B137" s="68"/>
      <c r="C137" s="68" t="s">
        <v>42</v>
      </c>
      <c r="D137" s="71" t="s">
        <v>43</v>
      </c>
      <c r="E137" s="65" t="n">
        <v>100</v>
      </c>
      <c r="F137" s="65" t="n">
        <v>120</v>
      </c>
      <c r="G137" s="65" t="n">
        <v>100</v>
      </c>
      <c r="H137" s="65"/>
      <c r="I137" s="65"/>
      <c r="J137" s="73" t="n">
        <f aca="false">SUM(E137:I137)</f>
        <v>320</v>
      </c>
      <c r="K137" s="67"/>
      <c r="L137" s="67"/>
      <c r="M137" s="67"/>
      <c r="N137" s="67"/>
      <c r="O137" s="67"/>
      <c r="P137" s="66"/>
    </row>
    <row r="138" customFormat="false" ht="14.25" hidden="false" customHeight="false" outlineLevel="0" collapsed="false">
      <c r="B138" s="68"/>
      <c r="C138" s="68"/>
      <c r="D138" s="71" t="s">
        <v>44</v>
      </c>
      <c r="E138" s="65" t="n">
        <v>100</v>
      </c>
      <c r="F138" s="65" t="n">
        <v>120</v>
      </c>
      <c r="G138" s="65" t="n">
        <v>100</v>
      </c>
      <c r="H138" s="65"/>
      <c r="I138" s="65"/>
      <c r="J138" s="73" t="n">
        <f aca="false">SUM(E138:I138)</f>
        <v>320</v>
      </c>
      <c r="K138" s="67"/>
      <c r="L138" s="67"/>
      <c r="M138" s="67"/>
      <c r="N138" s="67"/>
      <c r="O138" s="67"/>
      <c r="P138" s="66"/>
    </row>
    <row r="139" customFormat="false" ht="14.25" hidden="false" customHeight="false" outlineLevel="0" collapsed="false">
      <c r="B139" s="68"/>
      <c r="C139" s="68"/>
      <c r="D139" s="71" t="s">
        <v>45</v>
      </c>
      <c r="E139" s="65" t="n">
        <v>100</v>
      </c>
      <c r="F139" s="65" t="n">
        <v>120</v>
      </c>
      <c r="G139" s="65" t="n">
        <v>100</v>
      </c>
      <c r="H139" s="65"/>
      <c r="I139" s="65"/>
      <c r="J139" s="73" t="n">
        <f aca="false">SUM(E139:I139)</f>
        <v>320</v>
      </c>
      <c r="K139" s="67"/>
      <c r="L139" s="67"/>
      <c r="M139" s="67"/>
      <c r="N139" s="67"/>
      <c r="O139" s="67"/>
      <c r="P139" s="66"/>
    </row>
    <row r="140" customFormat="false" ht="14.25" hidden="false" customHeight="true" outlineLevel="0" collapsed="false">
      <c r="B140" s="68"/>
      <c r="C140" s="68" t="s">
        <v>46</v>
      </c>
      <c r="D140" s="71" t="s">
        <v>47</v>
      </c>
      <c r="E140" s="65" t="n">
        <v>100</v>
      </c>
      <c r="F140" s="65" t="n">
        <v>120</v>
      </c>
      <c r="G140" s="65" t="n">
        <v>100</v>
      </c>
      <c r="H140" s="65"/>
      <c r="I140" s="65"/>
      <c r="J140" s="73" t="n">
        <f aca="false">SUM(E140:I140)</f>
        <v>320</v>
      </c>
      <c r="K140" s="67"/>
      <c r="L140" s="67"/>
      <c r="M140" s="67"/>
      <c r="N140" s="67"/>
      <c r="O140" s="67"/>
      <c r="P140" s="66"/>
    </row>
    <row r="141" customFormat="false" ht="14.25" hidden="false" customHeight="false" outlineLevel="0" collapsed="false">
      <c r="B141" s="68"/>
      <c r="C141" s="68"/>
      <c r="D141" s="71" t="s">
        <v>48</v>
      </c>
      <c r="E141" s="65" t="n">
        <v>100</v>
      </c>
      <c r="F141" s="65" t="n">
        <v>120</v>
      </c>
      <c r="G141" s="65" t="n">
        <v>100</v>
      </c>
      <c r="H141" s="65"/>
      <c r="I141" s="65"/>
      <c r="J141" s="73" t="n">
        <f aca="false">SUM(E141:I141)</f>
        <v>320</v>
      </c>
      <c r="K141" s="67"/>
      <c r="L141" s="67"/>
      <c r="M141" s="67"/>
      <c r="N141" s="67"/>
      <c r="O141" s="67"/>
      <c r="P141" s="66"/>
    </row>
    <row r="142" customFormat="false" ht="14.25" hidden="false" customHeight="false" outlineLevel="0" collapsed="false">
      <c r="B142" s="68"/>
      <c r="C142" s="68"/>
      <c r="D142" s="71" t="s">
        <v>49</v>
      </c>
      <c r="E142" s="65" t="n">
        <v>100</v>
      </c>
      <c r="F142" s="65" t="n">
        <v>120</v>
      </c>
      <c r="G142" s="65" t="n">
        <v>100</v>
      </c>
      <c r="H142" s="65"/>
      <c r="I142" s="65"/>
      <c r="J142" s="73" t="n">
        <f aca="false">SUM(E142:I142)</f>
        <v>320</v>
      </c>
      <c r="K142" s="67"/>
      <c r="L142" s="67"/>
      <c r="M142" s="67"/>
      <c r="N142" s="67"/>
      <c r="O142" s="67"/>
      <c r="P142" s="66"/>
    </row>
    <row r="143" customFormat="false" ht="14.25" hidden="false" customHeight="true" outlineLevel="0" collapsed="false">
      <c r="B143" s="68"/>
      <c r="C143" s="77" t="s">
        <v>213</v>
      </c>
      <c r="D143" s="71"/>
      <c r="E143" s="65"/>
      <c r="F143" s="65"/>
      <c r="G143" s="65"/>
      <c r="H143" s="65"/>
      <c r="I143" s="65"/>
      <c r="J143" s="73" t="n">
        <f aca="false">SUM(E143:I143)</f>
        <v>0</v>
      </c>
      <c r="K143" s="67"/>
      <c r="L143" s="67"/>
      <c r="M143" s="67"/>
      <c r="N143" s="67"/>
      <c r="O143" s="67"/>
      <c r="P143" s="66"/>
    </row>
    <row r="144" customFormat="false" ht="14.25" hidden="false" customHeight="false" outlineLevel="0" collapsed="false">
      <c r="B144" s="68"/>
      <c r="C144" s="78"/>
      <c r="D144" s="71"/>
      <c r="E144" s="65"/>
      <c r="F144" s="65"/>
      <c r="G144" s="65"/>
      <c r="H144" s="65"/>
      <c r="I144" s="65"/>
      <c r="J144" s="73" t="n">
        <f aca="false">SUM(E144:I144)</f>
        <v>0</v>
      </c>
      <c r="K144" s="67"/>
      <c r="L144" s="67"/>
      <c r="M144" s="67"/>
      <c r="N144" s="67"/>
      <c r="O144" s="67"/>
      <c r="P144" s="66"/>
    </row>
    <row r="145" customFormat="false" ht="14.25" hidden="false" customHeight="false" outlineLevel="0" collapsed="false">
      <c r="B145" s="68"/>
      <c r="C145" s="79"/>
      <c r="D145" s="71"/>
      <c r="E145" s="65"/>
      <c r="F145" s="65"/>
      <c r="G145" s="65"/>
      <c r="H145" s="65"/>
      <c r="I145" s="65"/>
      <c r="J145" s="73" t="n">
        <f aca="false">SUM(E145:I145)</f>
        <v>0</v>
      </c>
      <c r="K145" s="67"/>
      <c r="L145" s="67"/>
      <c r="M145" s="67"/>
      <c r="N145" s="67"/>
      <c r="O145" s="67"/>
      <c r="P145" s="66"/>
    </row>
    <row r="146" customFormat="false" ht="14.25" hidden="false" customHeight="true" outlineLevel="0" collapsed="false">
      <c r="B146" s="68"/>
      <c r="C146" s="77" t="s">
        <v>213</v>
      </c>
      <c r="D146" s="71"/>
      <c r="E146" s="65"/>
      <c r="F146" s="65"/>
      <c r="G146" s="65"/>
      <c r="H146" s="65"/>
      <c r="I146" s="65"/>
      <c r="J146" s="73" t="n">
        <f aca="false">SUM(E146:I146)</f>
        <v>0</v>
      </c>
      <c r="K146" s="67"/>
      <c r="L146" s="67"/>
      <c r="M146" s="67"/>
      <c r="N146" s="67"/>
      <c r="O146" s="67"/>
      <c r="P146" s="66"/>
    </row>
    <row r="147" customFormat="false" ht="14.25" hidden="false" customHeight="false" outlineLevel="0" collapsed="false">
      <c r="B147" s="68"/>
      <c r="C147" s="78"/>
      <c r="D147" s="71"/>
      <c r="E147" s="65"/>
      <c r="F147" s="65"/>
      <c r="G147" s="65"/>
      <c r="H147" s="65"/>
      <c r="I147" s="65"/>
      <c r="J147" s="73" t="n">
        <f aca="false">SUM(E147:I147)</f>
        <v>0</v>
      </c>
      <c r="K147" s="67"/>
      <c r="L147" s="67"/>
      <c r="M147" s="67"/>
      <c r="N147" s="67"/>
      <c r="O147" s="67"/>
      <c r="P147" s="66"/>
    </row>
    <row r="148" customFormat="false" ht="14.25" hidden="false" customHeight="false" outlineLevel="0" collapsed="false">
      <c r="B148" s="68"/>
      <c r="C148" s="79"/>
      <c r="D148" s="71"/>
      <c r="E148" s="65"/>
      <c r="F148" s="65"/>
      <c r="G148" s="65"/>
      <c r="H148" s="65"/>
      <c r="I148" s="65"/>
      <c r="J148" s="73" t="n">
        <f aca="false">SUM(E148:I148)</f>
        <v>0</v>
      </c>
      <c r="K148" s="67"/>
      <c r="L148" s="67"/>
      <c r="M148" s="67"/>
      <c r="N148" s="67"/>
      <c r="O148" s="67"/>
      <c r="P148" s="66"/>
    </row>
    <row r="149" customFormat="false" ht="14.25" hidden="false" customHeight="true" outlineLevel="0" collapsed="false">
      <c r="B149" s="68"/>
      <c r="C149" s="77" t="s">
        <v>213</v>
      </c>
      <c r="D149" s="71"/>
      <c r="E149" s="65"/>
      <c r="F149" s="65"/>
      <c r="G149" s="65"/>
      <c r="H149" s="65"/>
      <c r="I149" s="65"/>
      <c r="J149" s="73" t="n">
        <f aca="false">SUM(E149:I149)</f>
        <v>0</v>
      </c>
      <c r="K149" s="67"/>
      <c r="L149" s="67"/>
      <c r="M149" s="67"/>
      <c r="N149" s="67"/>
      <c r="O149" s="67"/>
      <c r="P149" s="66"/>
    </row>
    <row r="150" customFormat="false" ht="14.25" hidden="false" customHeight="false" outlineLevel="0" collapsed="false">
      <c r="B150" s="68"/>
      <c r="C150" s="78"/>
      <c r="D150" s="71"/>
      <c r="E150" s="65"/>
      <c r="F150" s="65"/>
      <c r="G150" s="65"/>
      <c r="H150" s="65"/>
      <c r="I150" s="65"/>
      <c r="J150" s="73" t="n">
        <f aca="false">SUM(E150:I150)</f>
        <v>0</v>
      </c>
      <c r="K150" s="67"/>
      <c r="L150" s="67"/>
      <c r="M150" s="67"/>
      <c r="N150" s="67"/>
      <c r="O150" s="67"/>
      <c r="P150" s="66"/>
    </row>
    <row r="151" customFormat="false" ht="14.25" hidden="false" customHeight="false" outlineLevel="0" collapsed="false">
      <c r="B151" s="68"/>
      <c r="C151" s="79"/>
      <c r="D151" s="71"/>
      <c r="E151" s="65"/>
      <c r="F151" s="65"/>
      <c r="G151" s="65"/>
      <c r="H151" s="65"/>
      <c r="I151" s="65"/>
      <c r="J151" s="73" t="n">
        <f aca="false">SUM(E151:I151)</f>
        <v>0</v>
      </c>
      <c r="K151" s="67"/>
      <c r="L151" s="67"/>
      <c r="M151" s="67"/>
      <c r="N151" s="67"/>
      <c r="O151" s="67"/>
      <c r="P151" s="66"/>
    </row>
    <row r="152" customFormat="false" ht="16.4" hidden="false" customHeight="false" outlineLevel="0" collapsed="false">
      <c r="B152" s="68"/>
      <c r="C152" s="77" t="s">
        <v>213</v>
      </c>
      <c r="D152" s="71"/>
      <c r="E152" s="65"/>
      <c r="F152" s="65"/>
      <c r="G152" s="65"/>
      <c r="H152" s="65"/>
      <c r="I152" s="65"/>
      <c r="J152" s="73" t="n">
        <f aca="false">SUM(E152:I152)</f>
        <v>0</v>
      </c>
      <c r="K152" s="67"/>
      <c r="L152" s="67"/>
      <c r="M152" s="67"/>
      <c r="N152" s="67"/>
      <c r="O152" s="67"/>
      <c r="P152" s="66"/>
    </row>
    <row r="153" customFormat="false" ht="14.25" hidden="false" customHeight="false" outlineLevel="0" collapsed="false">
      <c r="B153" s="68"/>
      <c r="C153" s="78"/>
      <c r="D153" s="71"/>
      <c r="E153" s="65"/>
      <c r="F153" s="65"/>
      <c r="G153" s="65"/>
      <c r="H153" s="65"/>
      <c r="I153" s="65"/>
      <c r="J153" s="73" t="n">
        <f aca="false">SUM(E153:I153)</f>
        <v>0</v>
      </c>
      <c r="K153" s="67"/>
      <c r="L153" s="67"/>
      <c r="M153" s="67"/>
      <c r="N153" s="67"/>
      <c r="O153" s="67"/>
      <c r="P153" s="66"/>
    </row>
    <row r="154" customFormat="false" ht="14.25" hidden="false" customHeight="false" outlineLevel="0" collapsed="false">
      <c r="B154" s="68"/>
      <c r="C154" s="79"/>
      <c r="D154" s="71"/>
      <c r="E154" s="65"/>
      <c r="F154" s="65"/>
      <c r="G154" s="65"/>
      <c r="H154" s="65"/>
      <c r="I154" s="65"/>
      <c r="J154" s="73" t="n">
        <f aca="false">SUM(E154:I154)</f>
        <v>0</v>
      </c>
      <c r="K154" s="67"/>
      <c r="L154" s="67"/>
      <c r="M154" s="67"/>
      <c r="N154" s="67"/>
      <c r="O154" s="67"/>
      <c r="P154" s="66"/>
    </row>
    <row r="155" customFormat="false" ht="14.25" hidden="false" customHeight="false" outlineLevel="0" collapsed="false">
      <c r="B155" s="71" t="s">
        <v>220</v>
      </c>
      <c r="C155" s="71"/>
      <c r="D155" s="71"/>
      <c r="E155" s="65" t="n">
        <f aca="false">SUM(E134:E154)</f>
        <v>900</v>
      </c>
      <c r="F155" s="65" t="n">
        <f aca="false">SUM(F134:F154)</f>
        <v>1080</v>
      </c>
      <c r="G155" s="65" t="n">
        <f aca="false">SUM(G134:G154)</f>
        <v>900</v>
      </c>
      <c r="H155" s="65" t="n">
        <f aca="false">SUM(H134:H154)</f>
        <v>0</v>
      </c>
      <c r="I155" s="65" t="n">
        <f aca="false">SUM(I134:I154)</f>
        <v>0</v>
      </c>
      <c r="J155" s="73" t="n">
        <f aca="false">SUM(E155:I155)</f>
        <v>2880</v>
      </c>
      <c r="K155" s="67"/>
      <c r="L155" s="67"/>
      <c r="M155" s="67"/>
      <c r="N155" s="67"/>
      <c r="O155" s="67"/>
      <c r="P155" s="66"/>
    </row>
    <row r="156" customFormat="false" ht="14.25" hidden="false" customHeight="false" outlineLevel="0" collapsed="false">
      <c r="B156" s="71" t="s">
        <v>221</v>
      </c>
      <c r="C156" s="71"/>
      <c r="D156" s="71"/>
      <c r="E156" s="65" t="n">
        <f aca="false">SUM(E134:E154)*$C$82/2</f>
        <v>22500</v>
      </c>
      <c r="F156" s="65" t="n">
        <f aca="false">SUM(F134:F154)*$C$83</f>
        <v>108000</v>
      </c>
      <c r="G156" s="65" t="n">
        <f aca="false">SUM(G134:G154)*$C$84</f>
        <v>450000</v>
      </c>
      <c r="H156" s="65" t="n">
        <f aca="false">SUM(H134:H154)</f>
        <v>0</v>
      </c>
      <c r="I156" s="65" t="n">
        <f aca="false">SUM(I134:I154)</f>
        <v>0</v>
      </c>
      <c r="J156" s="73" t="n">
        <f aca="false">SUM(E156:I156)</f>
        <v>580500</v>
      </c>
      <c r="K156" s="67"/>
      <c r="L156" s="67"/>
      <c r="M156" s="67"/>
      <c r="N156" s="67"/>
      <c r="O156" s="67"/>
      <c r="P156" s="66"/>
    </row>
    <row r="157" customFormat="false" ht="14.25" hidden="false" customHeight="false" outlineLevel="0" collapsed="false">
      <c r="B157" s="70" t="s">
        <v>222</v>
      </c>
      <c r="C157" s="71"/>
      <c r="D157" s="71"/>
      <c r="E157" s="80" t="n">
        <f aca="false">E109+E132+E155</f>
        <v>2700</v>
      </c>
      <c r="F157" s="80" t="n">
        <f aca="false">F109+F132+F155</f>
        <v>3240</v>
      </c>
      <c r="G157" s="80" t="n">
        <f aca="false">G109+G132+G155</f>
        <v>2700</v>
      </c>
      <c r="H157" s="80" t="n">
        <f aca="false">H109+H132+H155</f>
        <v>0</v>
      </c>
      <c r="I157" s="80" t="n">
        <f aca="false">I109+I132+I155</f>
        <v>0</v>
      </c>
      <c r="J157" s="80" t="n">
        <f aca="false">J109+J132+J155</f>
        <v>8640</v>
      </c>
      <c r="K157" s="67"/>
      <c r="L157" s="67"/>
      <c r="M157" s="67"/>
      <c r="N157" s="67"/>
      <c r="O157" s="67"/>
      <c r="P157" s="66"/>
    </row>
    <row r="158" customFormat="false" ht="15" hidden="false" customHeight="false" outlineLevel="0" collapsed="false">
      <c r="B158" s="70" t="s">
        <v>223</v>
      </c>
      <c r="C158" s="70"/>
      <c r="D158" s="70"/>
      <c r="E158" s="80" t="n">
        <f aca="false">E110+E133+E156</f>
        <v>67500</v>
      </c>
      <c r="F158" s="80" t="n">
        <f aca="false">F110+F133+F156</f>
        <v>324000</v>
      </c>
      <c r="G158" s="80" t="n">
        <f aca="false">G110+G133+G156</f>
        <v>1350000</v>
      </c>
      <c r="H158" s="80" t="n">
        <f aca="false">H110+H133+H156</f>
        <v>0</v>
      </c>
      <c r="I158" s="80" t="n">
        <f aca="false">I110+I133+I156</f>
        <v>0</v>
      </c>
      <c r="J158" s="81" t="n">
        <f aca="false">J110+J133+J156</f>
        <v>1741500</v>
      </c>
      <c r="K158" s="67"/>
      <c r="L158" s="67"/>
      <c r="M158" s="67"/>
      <c r="N158" s="67"/>
      <c r="O158" s="67"/>
      <c r="P158" s="66"/>
    </row>
    <row r="159" customFormat="false" ht="14.25" hidden="false" customHeight="false" outlineLevel="0" collapsed="false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</row>
    <row r="160" customFormat="false" ht="15" hidden="false" customHeight="true" outlineLevel="0" collapsed="false">
      <c r="B160" s="82" t="s">
        <v>224</v>
      </c>
      <c r="C160" s="83" t="s">
        <v>225</v>
      </c>
      <c r="D160" s="83"/>
      <c r="E160" s="83"/>
      <c r="F160" s="83"/>
      <c r="G160" s="83"/>
      <c r="H160" s="83"/>
      <c r="I160" s="52"/>
      <c r="J160" s="52"/>
      <c r="K160" s="52"/>
      <c r="L160" s="52"/>
      <c r="M160" s="52"/>
      <c r="N160" s="52"/>
      <c r="O160" s="52"/>
    </row>
    <row r="161" customFormat="false" ht="14.25" hidden="false" customHeight="true" outlineLevel="0" collapsed="false">
      <c r="B161" s="84" t="s">
        <v>2</v>
      </c>
      <c r="C161" s="85" t="s">
        <v>4</v>
      </c>
      <c r="D161" s="85" t="s">
        <v>5</v>
      </c>
      <c r="E161" s="85" t="s">
        <v>6</v>
      </c>
      <c r="F161" s="85" t="s">
        <v>7</v>
      </c>
      <c r="G161" s="85" t="s">
        <v>8</v>
      </c>
      <c r="H161" s="86" t="s">
        <v>36</v>
      </c>
      <c r="I161" s="52"/>
      <c r="J161" s="52"/>
      <c r="K161" s="52"/>
      <c r="L161" s="52"/>
      <c r="M161" s="52"/>
      <c r="N161" s="52"/>
      <c r="O161" s="52"/>
    </row>
    <row r="162" customFormat="false" ht="14.25" hidden="false" customHeight="false" outlineLevel="0" collapsed="false">
      <c r="B162" s="87" t="s">
        <v>167</v>
      </c>
      <c r="C162" s="88" t="n">
        <f aca="false">D72*$I72</f>
        <v>5</v>
      </c>
      <c r="D162" s="88" t="n">
        <f aca="false">E72*$I72</f>
        <v>0</v>
      </c>
      <c r="E162" s="88" t="n">
        <f aca="false">F72*$I72</f>
        <v>0</v>
      </c>
      <c r="F162" s="88" t="n">
        <f aca="false">G72*$I72</f>
        <v>5</v>
      </c>
      <c r="G162" s="88" t="n">
        <f aca="false">H72*$I72</f>
        <v>0</v>
      </c>
      <c r="H162" s="89" t="n">
        <f aca="false">SUM(C162:G162)</f>
        <v>10</v>
      </c>
      <c r="I162" s="52"/>
      <c r="J162" s="52"/>
      <c r="K162" s="52"/>
      <c r="L162" s="52"/>
      <c r="M162" s="52"/>
      <c r="N162" s="52"/>
      <c r="O162" s="52"/>
    </row>
    <row r="163" customFormat="false" ht="14.25" hidden="false" customHeight="false" outlineLevel="0" collapsed="false">
      <c r="B163" s="87" t="s">
        <v>168</v>
      </c>
      <c r="C163" s="88" t="n">
        <f aca="false">D73*$I73</f>
        <v>8</v>
      </c>
      <c r="D163" s="88" t="n">
        <f aca="false">E73*$I73</f>
        <v>0</v>
      </c>
      <c r="E163" s="88" t="n">
        <f aca="false">F73*$I73</f>
        <v>0</v>
      </c>
      <c r="F163" s="88" t="n">
        <f aca="false">G73*$I73</f>
        <v>8</v>
      </c>
      <c r="G163" s="88" t="n">
        <f aca="false">H73*$I73</f>
        <v>0</v>
      </c>
      <c r="H163" s="89" t="n">
        <f aca="false">SUM(C163:G163)</f>
        <v>16</v>
      </c>
      <c r="I163" s="52"/>
      <c r="J163" s="52"/>
      <c r="K163" s="52"/>
      <c r="L163" s="52"/>
      <c r="M163" s="52"/>
      <c r="N163" s="52"/>
      <c r="O163" s="52"/>
    </row>
    <row r="164" customFormat="false" ht="14.25" hidden="false" customHeight="false" outlineLevel="0" collapsed="false">
      <c r="B164" s="87" t="s">
        <v>169</v>
      </c>
      <c r="C164" s="88" t="n">
        <f aca="false">D74*$I74</f>
        <v>9</v>
      </c>
      <c r="D164" s="88" t="n">
        <f aca="false">E74*$I74</f>
        <v>0</v>
      </c>
      <c r="E164" s="88" t="n">
        <f aca="false">F74*$I74</f>
        <v>0</v>
      </c>
      <c r="F164" s="88" t="n">
        <f aca="false">G74*$I74</f>
        <v>9</v>
      </c>
      <c r="G164" s="88" t="n">
        <f aca="false">H74*$I74</f>
        <v>0</v>
      </c>
      <c r="H164" s="89" t="n">
        <f aca="false">SUM(C164:G164)</f>
        <v>18</v>
      </c>
      <c r="I164" s="52"/>
      <c r="J164" s="52"/>
      <c r="K164" s="52"/>
      <c r="L164" s="52"/>
      <c r="M164" s="52"/>
      <c r="N164" s="52"/>
      <c r="O164" s="52"/>
    </row>
    <row r="165" customFormat="false" ht="14.25" hidden="false" customHeight="false" outlineLevel="0" collapsed="false">
      <c r="B165" s="87" t="s">
        <v>170</v>
      </c>
      <c r="C165" s="88" t="n">
        <f aca="false">D75*$I75</f>
        <v>25</v>
      </c>
      <c r="D165" s="88" t="n">
        <f aca="false">E75*$I75</f>
        <v>0</v>
      </c>
      <c r="E165" s="88" t="n">
        <f aca="false">F75*$I75</f>
        <v>0</v>
      </c>
      <c r="F165" s="88" t="n">
        <f aca="false">G75*$I75</f>
        <v>25</v>
      </c>
      <c r="G165" s="88" t="n">
        <f aca="false">H75*$I75</f>
        <v>0</v>
      </c>
      <c r="H165" s="89" t="n">
        <f aca="false">SUM(C165:G165)</f>
        <v>50</v>
      </c>
      <c r="I165" s="52"/>
      <c r="J165" s="52"/>
      <c r="K165" s="52"/>
      <c r="L165" s="52"/>
      <c r="M165" s="52"/>
      <c r="N165" s="52"/>
      <c r="O165" s="52"/>
    </row>
    <row r="166" customFormat="false" ht="14.25" hidden="false" customHeight="false" outlineLevel="0" collapsed="false">
      <c r="B166" s="87" t="s">
        <v>171</v>
      </c>
      <c r="C166" s="88" t="n">
        <f aca="false">D76*$I76</f>
        <v>10</v>
      </c>
      <c r="D166" s="88" t="n">
        <f aca="false">E76*$I76</f>
        <v>0</v>
      </c>
      <c r="E166" s="88" t="n">
        <f aca="false">F76*$I76</f>
        <v>0</v>
      </c>
      <c r="F166" s="88" t="n">
        <f aca="false">G76*$I76</f>
        <v>10</v>
      </c>
      <c r="G166" s="88" t="n">
        <f aca="false">H76*$I76</f>
        <v>0</v>
      </c>
      <c r="H166" s="89" t="n">
        <f aca="false">SUM(C166:G166)</f>
        <v>20</v>
      </c>
      <c r="I166" s="52"/>
      <c r="J166" s="52"/>
      <c r="K166" s="52"/>
      <c r="L166" s="52"/>
      <c r="M166" s="52"/>
      <c r="N166" s="52"/>
      <c r="O166" s="52"/>
    </row>
    <row r="167" customFormat="false" ht="14.25" hidden="false" customHeight="false" outlineLevel="0" collapsed="false">
      <c r="B167" s="87" t="s">
        <v>172</v>
      </c>
      <c r="C167" s="88" t="n">
        <f aca="false">D77*$I77</f>
        <v>50</v>
      </c>
      <c r="D167" s="88" t="n">
        <f aca="false">E77*$I77</f>
        <v>0</v>
      </c>
      <c r="E167" s="88" t="n">
        <f aca="false">F77*$I77</f>
        <v>0</v>
      </c>
      <c r="F167" s="88" t="n">
        <f aca="false">G77*$I77</f>
        <v>50</v>
      </c>
      <c r="G167" s="88" t="n">
        <f aca="false">H77*$I77</f>
        <v>0</v>
      </c>
      <c r="H167" s="89" t="n">
        <f aca="false">SUM(C167:G167)</f>
        <v>100</v>
      </c>
      <c r="I167" s="52"/>
      <c r="J167" s="52"/>
      <c r="K167" s="52"/>
      <c r="L167" s="52"/>
      <c r="M167" s="52"/>
      <c r="N167" s="52"/>
      <c r="O167" s="52"/>
    </row>
    <row r="168" customFormat="false" ht="16.4" hidden="false" customHeight="false" outlineLevel="0" collapsed="false">
      <c r="B168" s="87" t="s">
        <v>200</v>
      </c>
      <c r="C168" s="88" t="n">
        <f aca="false">D78*$I78</f>
        <v>0</v>
      </c>
      <c r="D168" s="88" t="n">
        <f aca="false">E78*$I78</f>
        <v>0</v>
      </c>
      <c r="E168" s="88" t="n">
        <f aca="false">F78*$I78</f>
        <v>0</v>
      </c>
      <c r="F168" s="88" t="n">
        <f aca="false">G78*$I78</f>
        <v>500</v>
      </c>
      <c r="G168" s="88" t="n">
        <f aca="false">H78*$I78</f>
        <v>0</v>
      </c>
      <c r="H168" s="89" t="n">
        <f aca="false">SUM(C168:G168)</f>
        <v>500</v>
      </c>
      <c r="I168" s="52"/>
      <c r="J168" s="52"/>
      <c r="K168" s="52"/>
      <c r="L168" s="52"/>
      <c r="M168" s="52"/>
      <c r="N168" s="52"/>
      <c r="O168" s="52"/>
    </row>
    <row r="169" customFormat="false" ht="14.25" hidden="false" customHeight="false" outlineLevel="0" collapsed="false">
      <c r="B169" s="87" t="s">
        <v>24</v>
      </c>
      <c r="C169" s="90" t="n">
        <f aca="false">ROUNDDOWN(SUM(C162:C168),10)</f>
        <v>107</v>
      </c>
      <c r="D169" s="90" t="n">
        <f aca="false">SUM(D162:D168)</f>
        <v>0</v>
      </c>
      <c r="E169" s="90" t="n">
        <f aca="false">SUM(E162:E168)</f>
        <v>0</v>
      </c>
      <c r="F169" s="90" t="n">
        <f aca="false">SUM(F162:F168)</f>
        <v>607</v>
      </c>
      <c r="G169" s="90" t="n">
        <f aca="false">SUM(G162:G168)</f>
        <v>0</v>
      </c>
      <c r="H169" s="91" t="n">
        <f aca="false">SUM(H162:H168)</f>
        <v>714</v>
      </c>
      <c r="I169" s="52"/>
      <c r="J169" s="52"/>
      <c r="K169" s="52"/>
      <c r="L169" s="52"/>
      <c r="M169" s="52"/>
      <c r="N169" s="52"/>
      <c r="O169" s="52"/>
    </row>
    <row r="170" customFormat="false" ht="14.25" hidden="false" customHeight="false" outlineLevel="0" collapsed="false">
      <c r="B170" s="87" t="s">
        <v>25</v>
      </c>
      <c r="C170" s="92" t="n">
        <f aca="false">C169</f>
        <v>107</v>
      </c>
      <c r="D170" s="92" t="n">
        <f aca="false">D169</f>
        <v>0</v>
      </c>
      <c r="E170" s="92" t="n">
        <f aca="false">E169</f>
        <v>0</v>
      </c>
      <c r="F170" s="92" t="n">
        <f aca="false">F169</f>
        <v>607</v>
      </c>
      <c r="G170" s="92" t="n">
        <f aca="false">G169</f>
        <v>0</v>
      </c>
      <c r="H170" s="93"/>
      <c r="I170" s="52"/>
      <c r="J170" s="52"/>
      <c r="K170" s="52"/>
      <c r="L170" s="52"/>
      <c r="M170" s="52"/>
      <c r="N170" s="52"/>
      <c r="O170" s="52"/>
    </row>
    <row r="171" customFormat="false" ht="14.25" hidden="false" customHeight="false" outlineLevel="0" collapsed="false">
      <c r="B171" s="94"/>
      <c r="C171" s="95"/>
      <c r="D171" s="95"/>
      <c r="E171" s="95"/>
      <c r="F171" s="95"/>
      <c r="G171" s="95"/>
      <c r="H171" s="96"/>
      <c r="I171" s="52"/>
      <c r="J171" s="52"/>
      <c r="K171" s="52"/>
      <c r="L171" s="52"/>
      <c r="M171" s="52"/>
      <c r="N171" s="52"/>
      <c r="O171" s="52"/>
    </row>
    <row r="172" customFormat="false" ht="14.25" hidden="false" customHeight="false" outlineLevel="0" collapsed="false">
      <c r="B172" s="87" t="s">
        <v>201</v>
      </c>
      <c r="C172" s="54" t="s">
        <v>203</v>
      </c>
      <c r="D172" s="54" t="s">
        <v>204</v>
      </c>
      <c r="E172" s="54" t="s">
        <v>205</v>
      </c>
      <c r="F172" s="95"/>
      <c r="G172" s="95"/>
      <c r="H172" s="96"/>
      <c r="I172" s="52"/>
      <c r="J172" s="52"/>
      <c r="K172" s="52"/>
      <c r="L172" s="52"/>
      <c r="M172" s="52"/>
      <c r="N172" s="52"/>
      <c r="O172" s="52"/>
    </row>
    <row r="173" customFormat="false" ht="14.25" hidden="false" customHeight="false" outlineLevel="0" collapsed="false">
      <c r="B173" s="97" t="s">
        <v>226</v>
      </c>
      <c r="C173" s="98" t="n">
        <f aca="false">_xlfn.FLOOR.MATH($C170/2,10)</f>
        <v>50</v>
      </c>
      <c r="D173" s="98" t="n">
        <f aca="false">_xlfn.FLOOR.MATH($C170,10)</f>
        <v>100</v>
      </c>
      <c r="E173" s="98" t="n">
        <f aca="false">_xlfn.FLOOR.MATH($C170,10)*5</f>
        <v>500</v>
      </c>
      <c r="F173" s="99"/>
      <c r="G173" s="99"/>
      <c r="H173" s="100"/>
      <c r="I173" s="52"/>
      <c r="J173" s="52"/>
      <c r="K173" s="52"/>
      <c r="L173" s="52"/>
      <c r="M173" s="52"/>
      <c r="N173" s="52"/>
      <c r="O173" s="52"/>
    </row>
    <row r="174" customFormat="false" ht="14.25" hidden="false" customHeight="false" outlineLevel="0" collapsed="false">
      <c r="B174" s="101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</row>
    <row r="175" customFormat="false" ht="14.25" hidden="false" customHeight="false" outlineLevel="0" collapsed="false">
      <c r="B175" s="102" t="s">
        <v>206</v>
      </c>
      <c r="C175" s="103" t="s">
        <v>207</v>
      </c>
      <c r="D175" s="103"/>
      <c r="E175" s="103"/>
      <c r="F175" s="103"/>
      <c r="G175" s="103"/>
      <c r="H175" s="103"/>
      <c r="I175" s="52"/>
      <c r="J175" s="52"/>
      <c r="K175" s="52"/>
      <c r="L175" s="52"/>
      <c r="M175" s="52"/>
      <c r="N175" s="52"/>
      <c r="O175" s="52"/>
    </row>
    <row r="176" customFormat="false" ht="14.25" hidden="false" customHeight="false" outlineLevel="0" collapsed="false">
      <c r="B176" s="87" t="s">
        <v>31</v>
      </c>
      <c r="C176" s="104" t="s">
        <v>203</v>
      </c>
      <c r="D176" s="104" t="s">
        <v>204</v>
      </c>
      <c r="E176" s="104" t="s">
        <v>205</v>
      </c>
      <c r="F176" s="104" t="s">
        <v>8</v>
      </c>
      <c r="G176" s="104" t="s">
        <v>8</v>
      </c>
      <c r="H176" s="105" t="s">
        <v>36</v>
      </c>
      <c r="I176" s="52"/>
      <c r="J176" s="52"/>
      <c r="K176" s="52"/>
      <c r="L176" s="52"/>
      <c r="M176" s="52"/>
      <c r="N176" s="52"/>
      <c r="O176" s="52"/>
    </row>
    <row r="177" customFormat="false" ht="14.25" hidden="false" customHeight="false" outlineLevel="0" collapsed="false">
      <c r="B177" s="87" t="s">
        <v>214</v>
      </c>
      <c r="C177" s="106" t="n">
        <f aca="false">E109</f>
        <v>900</v>
      </c>
      <c r="D177" s="106" t="n">
        <f aca="false">F109</f>
        <v>1080</v>
      </c>
      <c r="E177" s="106" t="n">
        <f aca="false">G109</f>
        <v>900</v>
      </c>
      <c r="F177" s="106" t="n">
        <f aca="false">H109</f>
        <v>0</v>
      </c>
      <c r="G177" s="106" t="n">
        <f aca="false">I109</f>
        <v>0</v>
      </c>
      <c r="H177" s="107" t="n">
        <f aca="false">J109</f>
        <v>2880</v>
      </c>
      <c r="I177" s="52"/>
      <c r="J177" s="52"/>
      <c r="K177" s="52"/>
      <c r="L177" s="52"/>
      <c r="M177" s="52"/>
      <c r="N177" s="52"/>
      <c r="O177" s="52"/>
    </row>
    <row r="178" customFormat="false" ht="14.25" hidden="false" customHeight="false" outlineLevel="0" collapsed="false">
      <c r="B178" s="87" t="s">
        <v>215</v>
      </c>
      <c r="C178" s="106" t="n">
        <f aca="false">E110</f>
        <v>22500</v>
      </c>
      <c r="D178" s="106" t="n">
        <f aca="false">F110</f>
        <v>108000</v>
      </c>
      <c r="E178" s="106" t="n">
        <f aca="false">G110</f>
        <v>450000</v>
      </c>
      <c r="F178" s="106" t="n">
        <f aca="false">H110</f>
        <v>0</v>
      </c>
      <c r="G178" s="106" t="n">
        <f aca="false">I110</f>
        <v>0</v>
      </c>
      <c r="H178" s="107" t="n">
        <f aca="false">J110</f>
        <v>580500</v>
      </c>
      <c r="I178" s="52"/>
      <c r="J178" s="52"/>
      <c r="K178" s="52"/>
      <c r="L178" s="52"/>
      <c r="M178" s="52"/>
      <c r="N178" s="52"/>
      <c r="O178" s="52"/>
    </row>
    <row r="179" customFormat="false" ht="14.25" hidden="false" customHeight="false" outlineLevel="0" collapsed="false">
      <c r="B179" s="87" t="s">
        <v>217</v>
      </c>
      <c r="C179" s="106" t="n">
        <f aca="false">E132</f>
        <v>900</v>
      </c>
      <c r="D179" s="106" t="n">
        <f aca="false">F132</f>
        <v>1080</v>
      </c>
      <c r="E179" s="106" t="n">
        <f aca="false">G132</f>
        <v>900</v>
      </c>
      <c r="F179" s="106" t="n">
        <f aca="false">H132</f>
        <v>0</v>
      </c>
      <c r="G179" s="106" t="n">
        <f aca="false">I132</f>
        <v>0</v>
      </c>
      <c r="H179" s="107" t="n">
        <f aca="false">SUM(C179:G179)</f>
        <v>2880</v>
      </c>
      <c r="I179" s="52"/>
      <c r="J179" s="52"/>
      <c r="K179" s="52"/>
      <c r="L179" s="52"/>
      <c r="M179" s="52"/>
      <c r="N179" s="52"/>
      <c r="O179" s="52"/>
    </row>
    <row r="180" customFormat="false" ht="14.25" hidden="false" customHeight="false" outlineLevel="0" collapsed="false">
      <c r="B180" s="87" t="s">
        <v>218</v>
      </c>
      <c r="C180" s="106" t="n">
        <f aca="false">E133</f>
        <v>22500</v>
      </c>
      <c r="D180" s="106" t="n">
        <f aca="false">F133</f>
        <v>108000</v>
      </c>
      <c r="E180" s="106" t="n">
        <f aca="false">G133</f>
        <v>450000</v>
      </c>
      <c r="F180" s="106" t="n">
        <f aca="false">H133</f>
        <v>0</v>
      </c>
      <c r="G180" s="106" t="n">
        <f aca="false">I133</f>
        <v>0</v>
      </c>
      <c r="H180" s="107" t="n">
        <f aca="false">SUM(C180:G180)</f>
        <v>580500</v>
      </c>
      <c r="I180" s="52"/>
      <c r="J180" s="52"/>
      <c r="K180" s="52"/>
      <c r="L180" s="52"/>
      <c r="M180" s="52"/>
      <c r="N180" s="52"/>
      <c r="O180" s="52"/>
    </row>
    <row r="181" customFormat="false" ht="14.25" hidden="false" customHeight="false" outlineLevel="0" collapsed="false">
      <c r="B181" s="87" t="s">
        <v>220</v>
      </c>
      <c r="C181" s="106" t="n">
        <f aca="false">E155</f>
        <v>900</v>
      </c>
      <c r="D181" s="106" t="n">
        <f aca="false">F155</f>
        <v>1080</v>
      </c>
      <c r="E181" s="106" t="n">
        <f aca="false">G155</f>
        <v>900</v>
      </c>
      <c r="F181" s="106" t="n">
        <f aca="false">H155</f>
        <v>0</v>
      </c>
      <c r="G181" s="106" t="n">
        <f aca="false">I155</f>
        <v>0</v>
      </c>
      <c r="H181" s="107" t="n">
        <f aca="false">SUM(C181:G181)</f>
        <v>2880</v>
      </c>
      <c r="I181" s="52"/>
      <c r="J181" s="52"/>
      <c r="K181" s="52"/>
      <c r="L181" s="52"/>
      <c r="M181" s="52"/>
      <c r="N181" s="52"/>
      <c r="O181" s="52"/>
    </row>
    <row r="182" customFormat="false" ht="14.25" hidden="false" customHeight="false" outlineLevel="0" collapsed="false">
      <c r="B182" s="87" t="s">
        <v>221</v>
      </c>
      <c r="C182" s="106" t="n">
        <f aca="false">E156</f>
        <v>22500</v>
      </c>
      <c r="D182" s="106" t="n">
        <f aca="false">F156</f>
        <v>108000</v>
      </c>
      <c r="E182" s="106" t="n">
        <f aca="false">G156</f>
        <v>450000</v>
      </c>
      <c r="F182" s="106" t="n">
        <f aca="false">H156</f>
        <v>0</v>
      </c>
      <c r="G182" s="106" t="n">
        <f aca="false">I156</f>
        <v>0</v>
      </c>
      <c r="H182" s="107" t="n">
        <f aca="false">SUM(C182:G182)</f>
        <v>580500</v>
      </c>
      <c r="I182" s="52"/>
      <c r="J182" s="52"/>
      <c r="K182" s="52"/>
      <c r="L182" s="52"/>
      <c r="M182" s="52"/>
      <c r="N182" s="52"/>
      <c r="O182" s="52"/>
    </row>
    <row r="183" customFormat="false" ht="15" hidden="false" customHeight="false" outlineLevel="0" collapsed="false">
      <c r="B183" s="84" t="s">
        <v>222</v>
      </c>
      <c r="C183" s="108" t="n">
        <f aca="false">C177+C179+C181</f>
        <v>2700</v>
      </c>
      <c r="D183" s="108" t="n">
        <f aca="false">D177+D179+D181</f>
        <v>3240</v>
      </c>
      <c r="E183" s="108" t="n">
        <f aca="false">E177+E179+E181</f>
        <v>2700</v>
      </c>
      <c r="F183" s="108" t="n">
        <f aca="false">F177+F179+F181</f>
        <v>0</v>
      </c>
      <c r="G183" s="108" t="n">
        <f aca="false">G177+G179+G181</f>
        <v>0</v>
      </c>
      <c r="H183" s="109" t="n">
        <f aca="false">H177+H179+H181</f>
        <v>8640</v>
      </c>
      <c r="I183" s="52"/>
      <c r="J183" s="52"/>
      <c r="K183" s="52"/>
      <c r="L183" s="52"/>
      <c r="M183" s="52"/>
      <c r="N183" s="52"/>
      <c r="O183" s="52"/>
    </row>
    <row r="184" customFormat="false" ht="15" hidden="false" customHeight="false" outlineLevel="0" collapsed="false">
      <c r="B184" s="110" t="s">
        <v>223</v>
      </c>
      <c r="C184" s="111" t="n">
        <f aca="false">C178+C180+C182</f>
        <v>67500</v>
      </c>
      <c r="D184" s="111" t="n">
        <f aca="false">D178+D180+D182</f>
        <v>324000</v>
      </c>
      <c r="E184" s="111" t="n">
        <f aca="false">E178+E180+E182</f>
        <v>1350000</v>
      </c>
      <c r="F184" s="111" t="n">
        <f aca="false">F178+F180+F182</f>
        <v>0</v>
      </c>
      <c r="G184" s="111" t="n">
        <f aca="false">G178+G180+G182</f>
        <v>0</v>
      </c>
      <c r="H184" s="112" t="n">
        <f aca="false">H178+H180+H182</f>
        <v>1741500</v>
      </c>
      <c r="I184" s="52"/>
      <c r="J184" s="52"/>
      <c r="K184" s="52"/>
      <c r="L184" s="52"/>
      <c r="M184" s="52"/>
      <c r="N184" s="52"/>
      <c r="O184" s="52"/>
    </row>
    <row r="185" customFormat="false" ht="14.25" hidden="false" customHeight="false" outlineLevel="0" collapsed="false">
      <c r="B185" s="113" t="s">
        <v>227</v>
      </c>
      <c r="C185" s="114" t="s">
        <v>191</v>
      </c>
      <c r="I185" s="115"/>
    </row>
    <row r="186" customFormat="false" ht="14.25" hidden="false" customHeight="false" outlineLevel="0" collapsed="false">
      <c r="B186" s="113" t="s">
        <v>228</v>
      </c>
      <c r="C186" s="114" t="s">
        <v>191</v>
      </c>
      <c r="I186" s="115"/>
    </row>
    <row r="187" customFormat="false" ht="14.25" hidden="false" customHeight="false" outlineLevel="0" collapsed="false">
      <c r="B187" s="113" t="s">
        <v>229</v>
      </c>
      <c r="C187" s="114" t="s">
        <v>191</v>
      </c>
      <c r="I187" s="115"/>
    </row>
    <row r="188" customFormat="false" ht="14.25" hidden="false" customHeight="false" outlineLevel="0" collapsed="false">
      <c r="B188" s="116" t="s">
        <v>230</v>
      </c>
      <c r="C188" s="117" t="s">
        <v>191</v>
      </c>
      <c r="D188" s="118"/>
      <c r="E188" s="118"/>
      <c r="F188" s="118"/>
      <c r="G188" s="118"/>
      <c r="H188" s="118"/>
      <c r="I188" s="119"/>
    </row>
  </sheetData>
  <mergeCells count="24">
    <mergeCell ref="B10:B44"/>
    <mergeCell ref="C19:C24"/>
    <mergeCell ref="C25:C34"/>
    <mergeCell ref="C35:C44"/>
    <mergeCell ref="B45:B61"/>
    <mergeCell ref="C45:C61"/>
    <mergeCell ref="B69:C69"/>
    <mergeCell ref="D70:H70"/>
    <mergeCell ref="J70:O70"/>
    <mergeCell ref="E86:J86"/>
    <mergeCell ref="B88:B108"/>
    <mergeCell ref="C88:C90"/>
    <mergeCell ref="C91:C93"/>
    <mergeCell ref="C94:C96"/>
    <mergeCell ref="B111:B131"/>
    <mergeCell ref="C111:C113"/>
    <mergeCell ref="C114:C116"/>
    <mergeCell ref="C117:C119"/>
    <mergeCell ref="B134:B154"/>
    <mergeCell ref="C134:C136"/>
    <mergeCell ref="C137:C139"/>
    <mergeCell ref="C140:C142"/>
    <mergeCell ref="C160:H160"/>
    <mergeCell ref="C175:H1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5.09"/>
    <col collapsed="false" customWidth="true" hidden="false" outlineLevel="0" max="2" min="2" style="0" width="21.09"/>
  </cols>
  <sheetData>
    <row r="1" customFormat="false" ht="14.25" hidden="false" customHeight="false" outlineLevel="0" collapsed="false">
      <c r="A1" s="48" t="s">
        <v>127</v>
      </c>
      <c r="B1" s="46" t="s">
        <v>128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60"/>
  <sheetViews>
    <sheetView showFormulas="false" showGridLines="true" showRowColHeaders="true" showZeros="true" rightToLeft="false" tabSelected="true" showOutlineSymbols="true" defaultGridColor="true" view="normal" topLeftCell="A42" colorId="64" zoomScale="70" zoomScaleNormal="70" zoomScalePageLayoutView="100" workbookViewId="0">
      <selection pane="topLeft" activeCell="I42" activeCellId="0" sqref="I42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35.54"/>
    <col collapsed="false" customWidth="true" hidden="false" outlineLevel="0" max="3" min="3" style="0" width="23.27"/>
    <col collapsed="false" customWidth="true" hidden="false" outlineLevel="0" max="4" min="4" style="0" width="53.45"/>
    <col collapsed="false" customWidth="true" hidden="false" outlineLevel="0" max="5" min="5" style="0" width="32.18"/>
    <col collapsed="false" customWidth="true" hidden="false" outlineLevel="0" max="6" min="6" style="0" width="23.64"/>
    <col collapsed="false" customWidth="true" hidden="false" outlineLevel="0" max="7" min="7" style="0" width="10.27"/>
  </cols>
  <sheetData>
    <row r="2" customFormat="false" ht="14.25" hidden="false" customHeight="false" outlineLevel="0" collapsed="false">
      <c r="B2" s="48" t="s">
        <v>127</v>
      </c>
      <c r="C2" s="46" t="s">
        <v>128</v>
      </c>
      <c r="D2" s="40"/>
      <c r="E2" s="40"/>
      <c r="F2" s="40"/>
      <c r="G2" s="40"/>
    </row>
    <row r="3" customFormat="false" ht="14.25" hidden="false" customHeight="false" outlineLevel="0" collapsed="false">
      <c r="B3" s="48" t="s">
        <v>133</v>
      </c>
      <c r="C3" s="40"/>
      <c r="D3" s="40"/>
      <c r="E3" s="40"/>
      <c r="F3" s="40"/>
      <c r="G3" s="40"/>
    </row>
    <row r="4" customFormat="false" ht="14.25" hidden="false" customHeight="false" outlineLevel="0" collapsed="false">
      <c r="B4" s="49" t="s">
        <v>134</v>
      </c>
      <c r="C4" s="50"/>
      <c r="D4" s="51"/>
      <c r="E4" s="51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customFormat="false" ht="14.25" hidden="false" customHeight="false" outlineLevel="0" collapsed="false">
      <c r="B5" s="49"/>
      <c r="C5" s="53" t="s">
        <v>135</v>
      </c>
      <c r="D5" s="54"/>
      <c r="E5" s="54" t="s">
        <v>136</v>
      </c>
      <c r="F5" s="52"/>
      <c r="G5" s="52"/>
      <c r="H5" s="52"/>
      <c r="I5" s="52"/>
      <c r="J5" s="52"/>
      <c r="K5" s="52"/>
      <c r="L5" s="52"/>
      <c r="M5" s="52"/>
      <c r="N5" s="52"/>
      <c r="O5" s="52"/>
    </row>
    <row r="6" customFormat="false" ht="14.25" hidden="false" customHeight="false" outlineLevel="0" collapsed="false">
      <c r="B6" s="49"/>
      <c r="C6" s="53" t="s">
        <v>137</v>
      </c>
      <c r="D6" s="54"/>
      <c r="E6" s="54" t="s">
        <v>138</v>
      </c>
      <c r="F6" s="52"/>
      <c r="G6" s="52"/>
      <c r="H6" s="52"/>
      <c r="I6" s="52"/>
      <c r="J6" s="52"/>
      <c r="K6" s="52"/>
      <c r="L6" s="52"/>
      <c r="M6" s="52"/>
      <c r="N6" s="52"/>
      <c r="O6" s="52"/>
    </row>
    <row r="7" customFormat="false" ht="31.3" hidden="false" customHeight="false" outlineLevel="0" collapsed="false">
      <c r="B7" s="49"/>
      <c r="C7" s="55" t="s">
        <v>139</v>
      </c>
      <c r="D7" s="54"/>
      <c r="E7" s="54" t="s">
        <v>140</v>
      </c>
      <c r="F7" s="52"/>
      <c r="G7" s="52"/>
      <c r="H7" s="52"/>
      <c r="I7" s="52"/>
      <c r="J7" s="52"/>
      <c r="K7" s="52"/>
      <c r="L7" s="52"/>
      <c r="M7" s="52"/>
      <c r="N7" s="52"/>
      <c r="O7" s="52"/>
    </row>
    <row r="8" customFormat="false" ht="61.15" hidden="false" customHeight="false" outlineLevel="0" collapsed="false">
      <c r="B8" s="49"/>
      <c r="C8" s="55" t="s">
        <v>141</v>
      </c>
      <c r="D8" s="54"/>
      <c r="E8" s="54" t="s">
        <v>142</v>
      </c>
      <c r="F8" s="52"/>
      <c r="G8" s="52"/>
      <c r="H8" s="52"/>
      <c r="I8" s="52"/>
      <c r="J8" s="52"/>
      <c r="K8" s="52"/>
      <c r="L8" s="52"/>
      <c r="M8" s="52"/>
      <c r="N8" s="52"/>
      <c r="O8" s="52"/>
    </row>
    <row r="9" customFormat="false" ht="16.4" hidden="false" customHeight="false" outlineLevel="0" collapsed="false">
      <c r="B9" s="49"/>
      <c r="C9" s="55" t="s">
        <v>143</v>
      </c>
      <c r="D9" s="54"/>
      <c r="E9" s="56" t="s">
        <v>144</v>
      </c>
      <c r="F9" s="52"/>
      <c r="G9" s="52"/>
      <c r="H9" s="52"/>
      <c r="I9" s="52"/>
      <c r="J9" s="52"/>
      <c r="K9" s="52"/>
      <c r="L9" s="52"/>
      <c r="M9" s="52"/>
      <c r="N9" s="52"/>
      <c r="O9" s="52"/>
    </row>
    <row r="10" customFormat="false" ht="16.4" hidden="false" customHeight="false" outlineLevel="0" collapsed="false">
      <c r="B10" s="49"/>
      <c r="C10" s="55" t="s">
        <v>145</v>
      </c>
      <c r="D10" s="54"/>
      <c r="E10" s="56" t="s">
        <v>146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</row>
    <row r="11" customFormat="false" ht="16.4" hidden="false" customHeight="false" outlineLevel="0" collapsed="false">
      <c r="B11" s="49"/>
      <c r="C11" s="55" t="s">
        <v>147</v>
      </c>
      <c r="D11" s="54"/>
      <c r="E11" s="56" t="s">
        <v>148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</row>
    <row r="12" customFormat="false" ht="14.25" hidden="false" customHeight="false" outlineLevel="0" collapsed="false">
      <c r="B12" s="49"/>
      <c r="C12" s="52"/>
      <c r="D12" s="57"/>
      <c r="E12" s="57" t="s">
        <v>149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</row>
    <row r="13" customFormat="false" ht="16.4" hidden="false" customHeight="true" outlineLevel="0" collapsed="false">
      <c r="B13" s="49"/>
      <c r="C13" s="58" t="s">
        <v>81</v>
      </c>
      <c r="D13" s="54" t="s">
        <v>4</v>
      </c>
      <c r="E13" s="56" t="s">
        <v>150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</row>
    <row r="14" customFormat="false" ht="16.4" hidden="false" customHeight="false" outlineLevel="0" collapsed="false">
      <c r="B14" s="49"/>
      <c r="C14" s="58"/>
      <c r="D14" s="54" t="s">
        <v>5</v>
      </c>
      <c r="E14" s="56" t="s">
        <v>150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</row>
    <row r="15" customFormat="false" ht="16.4" hidden="false" customHeight="false" outlineLevel="0" collapsed="false">
      <c r="B15" s="49"/>
      <c r="C15" s="58"/>
      <c r="D15" s="54" t="s">
        <v>6</v>
      </c>
      <c r="E15" s="56" t="s">
        <v>150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</row>
    <row r="16" customFormat="false" ht="16.4" hidden="false" customHeight="false" outlineLevel="0" collapsed="false">
      <c r="B16" s="49"/>
      <c r="C16" s="58"/>
      <c r="D16" s="54" t="s">
        <v>7</v>
      </c>
      <c r="E16" s="56" t="s">
        <v>150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</row>
    <row r="17" customFormat="false" ht="16.4" hidden="false" customHeight="false" outlineLevel="0" collapsed="false">
      <c r="B17" s="49"/>
      <c r="C17" s="58"/>
      <c r="D17" s="54" t="s">
        <v>8</v>
      </c>
      <c r="E17" s="56" t="s">
        <v>150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</row>
    <row r="18" customFormat="false" ht="16.4" hidden="false" customHeight="false" outlineLevel="0" collapsed="false">
      <c r="B18" s="49"/>
      <c r="C18" s="58"/>
      <c r="D18" s="54" t="s">
        <v>36</v>
      </c>
      <c r="E18" s="56" t="s">
        <v>150</v>
      </c>
      <c r="F18" s="52"/>
      <c r="G18" s="52"/>
      <c r="H18" s="52"/>
      <c r="I18" s="52"/>
      <c r="J18" s="52"/>
      <c r="K18" s="52"/>
      <c r="L18" s="52"/>
      <c r="M18" s="52"/>
      <c r="N18" s="52"/>
      <c r="O18" s="52"/>
    </row>
    <row r="19" customFormat="false" ht="16.4" hidden="false" customHeight="true" outlineLevel="0" collapsed="false">
      <c r="B19" s="49"/>
      <c r="C19" s="59" t="s">
        <v>151</v>
      </c>
      <c r="D19" s="54" t="s">
        <v>152</v>
      </c>
      <c r="E19" s="56" t="s">
        <v>150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</row>
    <row r="20" customFormat="false" ht="16.4" hidden="false" customHeight="false" outlineLevel="0" collapsed="false">
      <c r="B20" s="49"/>
      <c r="C20" s="59"/>
      <c r="D20" s="54" t="s">
        <v>153</v>
      </c>
      <c r="E20" s="56" t="s">
        <v>150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</row>
    <row r="21" customFormat="false" ht="16.4" hidden="false" customHeight="false" outlineLevel="0" collapsed="false">
      <c r="B21" s="49"/>
      <c r="C21" s="59"/>
      <c r="D21" s="54" t="s">
        <v>154</v>
      </c>
      <c r="E21" s="56" t="s">
        <v>150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</row>
    <row r="22" customFormat="false" ht="16.4" hidden="false" customHeight="false" outlineLevel="0" collapsed="false">
      <c r="B22" s="49"/>
      <c r="C22" s="59"/>
      <c r="D22" s="54" t="s">
        <v>155</v>
      </c>
      <c r="E22" s="56" t="s">
        <v>150</v>
      </c>
      <c r="F22" s="52"/>
      <c r="G22" s="52"/>
      <c r="H22" s="52"/>
      <c r="I22" s="52"/>
      <c r="J22" s="52"/>
      <c r="K22" s="52"/>
      <c r="L22" s="52"/>
      <c r="M22" s="52"/>
      <c r="N22" s="52"/>
      <c r="O22" s="52"/>
    </row>
    <row r="23" customFormat="false" ht="16.4" hidden="false" customHeight="false" outlineLevel="0" collapsed="false">
      <c r="B23" s="49"/>
      <c r="C23" s="59"/>
      <c r="D23" s="54" t="s">
        <v>156</v>
      </c>
      <c r="E23" s="56" t="s">
        <v>150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</row>
    <row r="24" customFormat="false" ht="16.4" hidden="false" customHeight="false" outlineLevel="0" collapsed="false">
      <c r="B24" s="49"/>
      <c r="C24" s="59"/>
      <c r="D24" s="54" t="s">
        <v>157</v>
      </c>
      <c r="E24" s="56" t="s">
        <v>150</v>
      </c>
      <c r="F24" s="52"/>
      <c r="G24" s="52"/>
      <c r="H24" s="52"/>
      <c r="I24" s="52"/>
      <c r="J24" s="52"/>
      <c r="K24" s="52"/>
      <c r="L24" s="52"/>
      <c r="M24" s="52"/>
      <c r="N24" s="52"/>
      <c r="O24" s="52"/>
    </row>
    <row r="25" customFormat="false" ht="16.4" hidden="false" customHeight="false" outlineLevel="0" collapsed="false">
      <c r="B25" s="49"/>
      <c r="C25" s="59"/>
      <c r="D25" s="56" t="s">
        <v>158</v>
      </c>
      <c r="E25" s="56" t="s">
        <v>150</v>
      </c>
      <c r="F25" s="52"/>
      <c r="G25" s="52"/>
      <c r="H25" s="52"/>
      <c r="I25" s="52"/>
      <c r="J25" s="52"/>
      <c r="K25" s="52"/>
      <c r="L25" s="52"/>
      <c r="M25" s="52"/>
      <c r="N25" s="52"/>
      <c r="O25" s="52"/>
    </row>
    <row r="26" customFormat="false" ht="16.4" hidden="false" customHeight="false" outlineLevel="0" collapsed="false">
      <c r="B26" s="49"/>
      <c r="C26" s="59"/>
      <c r="D26" s="56" t="s">
        <v>159</v>
      </c>
      <c r="E26" s="56" t="s">
        <v>150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</row>
    <row r="27" customFormat="false" ht="16.4" hidden="false" customHeight="false" outlineLevel="0" collapsed="false">
      <c r="B27" s="49"/>
      <c r="C27" s="59"/>
      <c r="D27" s="56" t="s">
        <v>160</v>
      </c>
      <c r="E27" s="56" t="s">
        <v>150</v>
      </c>
      <c r="F27" s="54" t="s">
        <v>161</v>
      </c>
      <c r="G27" s="52"/>
      <c r="H27" s="52"/>
      <c r="I27" s="52"/>
      <c r="J27" s="52"/>
      <c r="K27" s="52"/>
      <c r="L27" s="52"/>
      <c r="M27" s="52"/>
      <c r="N27" s="52"/>
      <c r="O27" s="52"/>
    </row>
    <row r="28" customFormat="false" ht="16.4" hidden="false" customHeight="false" outlineLevel="0" collapsed="false">
      <c r="B28" s="49"/>
      <c r="C28" s="59"/>
      <c r="D28" s="54" t="s">
        <v>162</v>
      </c>
      <c r="E28" s="56" t="s">
        <v>150</v>
      </c>
      <c r="F28" s="52"/>
      <c r="G28" s="52"/>
      <c r="H28" s="52"/>
      <c r="I28" s="52"/>
      <c r="J28" s="52"/>
      <c r="K28" s="52"/>
      <c r="L28" s="52"/>
      <c r="M28" s="52"/>
      <c r="N28" s="52"/>
      <c r="O28" s="52"/>
    </row>
    <row r="29" customFormat="false" ht="14.25" hidden="false" customHeight="true" outlineLevel="0" collapsed="false">
      <c r="B29" s="49"/>
      <c r="C29" s="58" t="s">
        <v>163</v>
      </c>
      <c r="D29" s="60" t="s">
        <v>164</v>
      </c>
      <c r="E29" s="54" t="s">
        <v>165</v>
      </c>
      <c r="F29" s="54" t="s">
        <v>166</v>
      </c>
      <c r="G29" s="54" t="s">
        <v>1</v>
      </c>
      <c r="H29" s="54" t="s">
        <v>166</v>
      </c>
      <c r="I29" s="54" t="s">
        <v>1</v>
      </c>
      <c r="J29" s="54" t="s">
        <v>166</v>
      </c>
      <c r="K29" s="54" t="s">
        <v>1</v>
      </c>
      <c r="L29" s="54" t="s">
        <v>166</v>
      </c>
      <c r="M29" s="54" t="s">
        <v>1</v>
      </c>
      <c r="N29" s="54" t="s">
        <v>166</v>
      </c>
      <c r="O29" s="54" t="s">
        <v>1</v>
      </c>
    </row>
    <row r="30" customFormat="false" ht="14.25" hidden="false" customHeight="false" outlineLevel="0" collapsed="false">
      <c r="B30" s="49"/>
      <c r="C30" s="58"/>
      <c r="D30" s="54" t="s">
        <v>167</v>
      </c>
      <c r="E30" s="54" t="n">
        <v>1</v>
      </c>
      <c r="F30" s="54" t="n">
        <v>5</v>
      </c>
      <c r="G30" s="54" t="n">
        <f aca="false">E30*F30</f>
        <v>5</v>
      </c>
      <c r="H30" s="54"/>
      <c r="I30" s="54" t="n">
        <f aca="false">$E30*H30</f>
        <v>0</v>
      </c>
      <c r="J30" s="54"/>
      <c r="K30" s="54" t="n">
        <f aca="false">$E30*J30</f>
        <v>0</v>
      </c>
      <c r="L30" s="54" t="n">
        <v>5</v>
      </c>
      <c r="M30" s="54" t="n">
        <f aca="false">$E30*L30</f>
        <v>5</v>
      </c>
      <c r="N30" s="54" t="n">
        <v>5</v>
      </c>
      <c r="O30" s="54" t="n">
        <f aca="false">$E30*N30</f>
        <v>5</v>
      </c>
    </row>
    <row r="31" customFormat="false" ht="14.25" hidden="false" customHeight="false" outlineLevel="0" collapsed="false">
      <c r="B31" s="49"/>
      <c r="C31" s="58"/>
      <c r="D31" s="54" t="s">
        <v>168</v>
      </c>
      <c r="E31" s="54" t="n">
        <v>2</v>
      </c>
      <c r="F31" s="54" t="n">
        <v>4</v>
      </c>
      <c r="G31" s="54" t="n">
        <f aca="false">E31*F31</f>
        <v>8</v>
      </c>
      <c r="H31" s="54"/>
      <c r="I31" s="54" t="n">
        <f aca="false">$E31*H31</f>
        <v>0</v>
      </c>
      <c r="J31" s="54"/>
      <c r="K31" s="54" t="n">
        <f aca="false">$E31*J31</f>
        <v>0</v>
      </c>
      <c r="L31" s="54" t="n">
        <v>4</v>
      </c>
      <c r="M31" s="54" t="n">
        <f aca="false">$E31*L31</f>
        <v>8</v>
      </c>
      <c r="N31" s="54" t="n">
        <v>4</v>
      </c>
      <c r="O31" s="54" t="n">
        <f aca="false">$E31*N31</f>
        <v>8</v>
      </c>
    </row>
    <row r="32" customFormat="false" ht="14.25" hidden="false" customHeight="false" outlineLevel="0" collapsed="false">
      <c r="B32" s="49"/>
      <c r="C32" s="58"/>
      <c r="D32" s="54" t="s">
        <v>169</v>
      </c>
      <c r="E32" s="54" t="n">
        <v>3</v>
      </c>
      <c r="F32" s="54" t="n">
        <v>3</v>
      </c>
      <c r="G32" s="54" t="n">
        <f aca="false">E32*F32</f>
        <v>9</v>
      </c>
      <c r="H32" s="54"/>
      <c r="I32" s="54" t="n">
        <f aca="false">$E32*H32</f>
        <v>0</v>
      </c>
      <c r="J32" s="54"/>
      <c r="K32" s="54" t="n">
        <f aca="false">$E32*J32</f>
        <v>0</v>
      </c>
      <c r="L32" s="54" t="n">
        <v>3</v>
      </c>
      <c r="M32" s="54" t="n">
        <f aca="false">$E32*L32</f>
        <v>9</v>
      </c>
      <c r="N32" s="54" t="n">
        <v>3</v>
      </c>
      <c r="O32" s="54" t="n">
        <f aca="false">$E32*N32</f>
        <v>9</v>
      </c>
    </row>
    <row r="33" customFormat="false" ht="14.25" hidden="false" customHeight="false" outlineLevel="0" collapsed="false">
      <c r="B33" s="49"/>
      <c r="C33" s="58"/>
      <c r="D33" s="54" t="s">
        <v>170</v>
      </c>
      <c r="E33" s="54" t="n">
        <v>5</v>
      </c>
      <c r="F33" s="54" t="n">
        <v>5</v>
      </c>
      <c r="G33" s="54" t="n">
        <f aca="false">E33*F33</f>
        <v>25</v>
      </c>
      <c r="H33" s="54"/>
      <c r="I33" s="54" t="n">
        <f aca="false">$E33*H33</f>
        <v>0</v>
      </c>
      <c r="J33" s="54"/>
      <c r="K33" s="54" t="n">
        <f aca="false">$E33*J33</f>
        <v>0</v>
      </c>
      <c r="L33" s="54" t="n">
        <v>5</v>
      </c>
      <c r="M33" s="54" t="n">
        <f aca="false">$E33*L33</f>
        <v>25</v>
      </c>
      <c r="N33" s="54" t="n">
        <v>5</v>
      </c>
      <c r="O33" s="54" t="n">
        <f aca="false">$E33*N33</f>
        <v>25</v>
      </c>
    </row>
    <row r="34" customFormat="false" ht="14.25" hidden="false" customHeight="false" outlineLevel="0" collapsed="false">
      <c r="B34" s="49"/>
      <c r="C34" s="58"/>
      <c r="D34" s="54" t="s">
        <v>171</v>
      </c>
      <c r="E34" s="54" t="n">
        <v>5</v>
      </c>
      <c r="F34" s="54" t="n">
        <v>2</v>
      </c>
      <c r="G34" s="54" t="n">
        <f aca="false">E34*F34</f>
        <v>10</v>
      </c>
      <c r="H34" s="54"/>
      <c r="I34" s="54" t="n">
        <f aca="false">$E34*H34</f>
        <v>0</v>
      </c>
      <c r="J34" s="54"/>
      <c r="K34" s="54" t="n">
        <f aca="false">$E34*J34</f>
        <v>0</v>
      </c>
      <c r="L34" s="54" t="n">
        <v>2</v>
      </c>
      <c r="M34" s="54" t="n">
        <f aca="false">$E34*L34</f>
        <v>10</v>
      </c>
      <c r="N34" s="54" t="n">
        <v>2</v>
      </c>
      <c r="O34" s="54" t="n">
        <f aca="false">$E34*N34</f>
        <v>10</v>
      </c>
    </row>
    <row r="35" customFormat="false" ht="14.25" hidden="false" customHeight="false" outlineLevel="0" collapsed="false">
      <c r="B35" s="49"/>
      <c r="C35" s="58"/>
      <c r="D35" s="54" t="s">
        <v>172</v>
      </c>
      <c r="E35" s="54" t="n">
        <v>10</v>
      </c>
      <c r="F35" s="54" t="n">
        <v>5</v>
      </c>
      <c r="G35" s="54" t="n">
        <f aca="false">E35*F35</f>
        <v>50</v>
      </c>
      <c r="H35" s="54"/>
      <c r="I35" s="54" t="n">
        <f aca="false">$E35*H35</f>
        <v>0</v>
      </c>
      <c r="J35" s="54"/>
      <c r="K35" s="54" t="n">
        <f aca="false">$E35*J35</f>
        <v>0</v>
      </c>
      <c r="L35" s="54" t="n">
        <v>5</v>
      </c>
      <c r="M35" s="54" t="n">
        <f aca="false">$E35*L35</f>
        <v>50</v>
      </c>
      <c r="N35" s="54" t="n">
        <v>5</v>
      </c>
      <c r="O35" s="54" t="n">
        <f aca="false">$E35*N35</f>
        <v>50</v>
      </c>
    </row>
    <row r="36" customFormat="false" ht="14.25" hidden="false" customHeight="false" outlineLevel="0" collapsed="false">
      <c r="B36" s="49"/>
      <c r="C36" s="58"/>
      <c r="D36" s="54" t="s">
        <v>173</v>
      </c>
      <c r="E36" s="54" t="n">
        <v>100</v>
      </c>
      <c r="F36" s="54" t="n">
        <v>0</v>
      </c>
      <c r="G36" s="54" t="n">
        <f aca="false">E36*F36</f>
        <v>0</v>
      </c>
      <c r="H36" s="54"/>
      <c r="I36" s="54" t="n">
        <f aca="false">$E36*H36</f>
        <v>0</v>
      </c>
      <c r="J36" s="54"/>
      <c r="K36" s="54" t="n">
        <f aca="false">$E36*J36</f>
        <v>0</v>
      </c>
      <c r="L36" s="54" t="n">
        <v>5</v>
      </c>
      <c r="M36" s="54" t="n">
        <f aca="false">$E36*L36</f>
        <v>500</v>
      </c>
      <c r="N36" s="54" t="n">
        <v>0</v>
      </c>
      <c r="O36" s="54" t="n">
        <f aca="false">$E36*N36</f>
        <v>0</v>
      </c>
    </row>
    <row r="37" customFormat="false" ht="14.25" hidden="false" customHeight="false" outlineLevel="0" collapsed="false">
      <c r="B37" s="49"/>
      <c r="C37" s="58"/>
      <c r="D37" s="54" t="s">
        <v>24</v>
      </c>
      <c r="E37" s="54"/>
      <c r="F37" s="54" t="n">
        <f aca="false">SUM(F30:F36)</f>
        <v>24</v>
      </c>
      <c r="G37" s="54" t="n">
        <f aca="false">E37*F37</f>
        <v>0</v>
      </c>
      <c r="H37" s="54" t="n">
        <f aca="false">SUM(H30:H36)</f>
        <v>0</v>
      </c>
      <c r="I37" s="54"/>
      <c r="J37" s="54" t="n">
        <f aca="false">SUM(J30:J36)</f>
        <v>0</v>
      </c>
      <c r="K37" s="54"/>
      <c r="L37" s="54" t="n">
        <f aca="false">SUM(L30:L36)</f>
        <v>29</v>
      </c>
      <c r="M37" s="54"/>
      <c r="N37" s="54" t="n">
        <f aca="false">SUM(N30:N36)</f>
        <v>24</v>
      </c>
      <c r="O37" s="54"/>
    </row>
    <row r="38" customFormat="false" ht="14.25" hidden="false" customHeight="false" outlineLevel="0" collapsed="false">
      <c r="B38" s="49"/>
      <c r="C38" s="58"/>
      <c r="D38" s="54" t="s">
        <v>25</v>
      </c>
      <c r="E38" s="54"/>
      <c r="F38" s="54"/>
      <c r="G38" s="54" t="n">
        <f aca="false">SUM(G30:G36)</f>
        <v>107</v>
      </c>
      <c r="H38" s="54"/>
      <c r="I38" s="54" t="n">
        <f aca="false">SUM(I30:I36)</f>
        <v>0</v>
      </c>
      <c r="J38" s="54"/>
      <c r="K38" s="54" t="n">
        <f aca="false">SUM(K30:K36)</f>
        <v>0</v>
      </c>
      <c r="L38" s="54"/>
      <c r="M38" s="54" t="n">
        <f aca="false">SUM(M30:M36)</f>
        <v>607</v>
      </c>
      <c r="N38" s="54"/>
      <c r="O38" s="54" t="n">
        <f aca="false">SUM(O30:O36)</f>
        <v>107</v>
      </c>
    </row>
    <row r="39" customFormat="false" ht="14.25" hidden="false" customHeight="false" outlineLevel="0" collapsed="false">
      <c r="B39" s="49" t="s">
        <v>174</v>
      </c>
      <c r="C39" s="61" t="s">
        <v>175</v>
      </c>
      <c r="D39" s="54"/>
      <c r="E39" s="54" t="s">
        <v>29</v>
      </c>
      <c r="F39" s="54" t="s">
        <v>176</v>
      </c>
      <c r="G39" s="54" t="s">
        <v>177</v>
      </c>
      <c r="H39" s="52"/>
      <c r="I39" s="52"/>
      <c r="J39" s="52"/>
      <c r="K39" s="52"/>
      <c r="L39" s="52"/>
      <c r="M39" s="52"/>
      <c r="N39" s="52"/>
      <c r="O39" s="52"/>
    </row>
    <row r="40" customFormat="false" ht="14.25" hidden="false" customHeight="false" outlineLevel="0" collapsed="false">
      <c r="B40" s="49"/>
      <c r="C40" s="61"/>
      <c r="D40" s="54" t="s">
        <v>4</v>
      </c>
      <c r="E40" s="62"/>
      <c r="F40" s="62"/>
      <c r="G40" s="54"/>
      <c r="H40" s="52"/>
      <c r="I40" s="52"/>
      <c r="J40" s="52"/>
      <c r="K40" s="52"/>
      <c r="L40" s="52"/>
      <c r="M40" s="52"/>
      <c r="N40" s="52"/>
      <c r="O40" s="52"/>
    </row>
    <row r="41" customFormat="false" ht="14.25" hidden="false" customHeight="false" outlineLevel="0" collapsed="false">
      <c r="B41" s="49"/>
      <c r="C41" s="61"/>
      <c r="D41" s="54" t="s">
        <v>5</v>
      </c>
      <c r="E41" s="62"/>
      <c r="F41" s="62"/>
      <c r="G41" s="54"/>
      <c r="H41" s="52"/>
      <c r="I41" s="52"/>
      <c r="J41" s="52"/>
      <c r="K41" s="52"/>
      <c r="L41" s="52"/>
      <c r="M41" s="52"/>
      <c r="N41" s="52"/>
      <c r="O41" s="52"/>
    </row>
    <row r="42" customFormat="false" ht="14.25" hidden="false" customHeight="false" outlineLevel="0" collapsed="false">
      <c r="B42" s="49"/>
      <c r="C42" s="61"/>
      <c r="D42" s="54" t="s">
        <v>6</v>
      </c>
      <c r="E42" s="62"/>
      <c r="F42" s="62"/>
      <c r="G42" s="54"/>
      <c r="H42" s="52"/>
      <c r="I42" s="52"/>
      <c r="J42" s="52"/>
      <c r="K42" s="52"/>
      <c r="L42" s="52"/>
      <c r="M42" s="52"/>
      <c r="N42" s="52"/>
      <c r="O42" s="52"/>
    </row>
    <row r="43" customFormat="false" ht="14.25" hidden="false" customHeight="false" outlineLevel="0" collapsed="false">
      <c r="B43" s="49"/>
      <c r="C43" s="61"/>
      <c r="D43" s="54" t="s">
        <v>7</v>
      </c>
      <c r="E43" s="62"/>
      <c r="F43" s="62"/>
      <c r="G43" s="54"/>
      <c r="H43" s="52"/>
      <c r="I43" s="52"/>
      <c r="J43" s="52"/>
      <c r="K43" s="52"/>
      <c r="L43" s="52"/>
      <c r="M43" s="52"/>
      <c r="N43" s="52"/>
      <c r="O43" s="52"/>
    </row>
    <row r="44" customFormat="false" ht="14.25" hidden="false" customHeight="false" outlineLevel="0" collapsed="false">
      <c r="B44" s="49"/>
      <c r="C44" s="61"/>
      <c r="D44" s="54" t="s">
        <v>8</v>
      </c>
      <c r="E44" s="62"/>
      <c r="F44" s="62"/>
      <c r="G44" s="54"/>
      <c r="H44" s="52"/>
      <c r="I44" s="52"/>
      <c r="J44" s="52"/>
      <c r="K44" s="52"/>
      <c r="L44" s="52"/>
      <c r="M44" s="52"/>
      <c r="N44" s="52"/>
      <c r="O44" s="52"/>
    </row>
    <row r="45" customFormat="false" ht="14.25" hidden="false" customHeight="false" outlineLevel="0" collapsed="false">
      <c r="B45" s="49"/>
      <c r="C45" s="61"/>
      <c r="D45" s="54" t="s">
        <v>36</v>
      </c>
      <c r="E45" s="62"/>
      <c r="F45" s="62"/>
      <c r="G45" s="54"/>
      <c r="H45" s="52"/>
      <c r="I45" s="52"/>
      <c r="J45" s="52"/>
      <c r="K45" s="52"/>
      <c r="L45" s="52"/>
      <c r="M45" s="52"/>
      <c r="N45" s="52"/>
      <c r="O45" s="52"/>
    </row>
    <row r="46" customFormat="false" ht="14.25" hidden="false" customHeight="false" outlineLevel="0" collapsed="false">
      <c r="B46" s="49"/>
      <c r="C46" s="61"/>
      <c r="D46" s="54"/>
      <c r="E46" s="54"/>
      <c r="F46" s="54"/>
      <c r="G46" s="54"/>
      <c r="H46" s="52"/>
      <c r="I46" s="52"/>
      <c r="J46" s="52"/>
      <c r="K46" s="52"/>
      <c r="L46" s="52"/>
      <c r="M46" s="52"/>
      <c r="N46" s="52"/>
      <c r="O46" s="52"/>
    </row>
    <row r="47" customFormat="false" ht="14.25" hidden="false" customHeight="false" outlineLevel="0" collapsed="false">
      <c r="B47" s="49"/>
      <c r="C47" s="61"/>
      <c r="D47" s="54"/>
      <c r="E47" s="54"/>
      <c r="F47" s="54"/>
      <c r="G47" s="54"/>
      <c r="H47" s="52"/>
      <c r="I47" s="52"/>
      <c r="J47" s="52"/>
      <c r="K47" s="52"/>
      <c r="L47" s="52"/>
      <c r="M47" s="52"/>
      <c r="N47" s="52"/>
      <c r="O47" s="52"/>
    </row>
    <row r="48" customFormat="false" ht="14.25" hidden="false" customHeight="false" outlineLevel="0" collapsed="false">
      <c r="B48" s="49"/>
      <c r="C48" s="61"/>
      <c r="D48" s="54" t="s">
        <v>178</v>
      </c>
      <c r="E48" s="54"/>
      <c r="F48" s="54"/>
      <c r="G48" s="54"/>
      <c r="H48" s="52"/>
      <c r="I48" s="52"/>
      <c r="J48" s="52"/>
      <c r="K48" s="52"/>
      <c r="L48" s="52"/>
      <c r="M48" s="52"/>
      <c r="N48" s="52"/>
      <c r="O48" s="52"/>
    </row>
    <row r="49" customFormat="false" ht="31.3" hidden="false" customHeight="false" outlineLevel="0" collapsed="false">
      <c r="B49" s="49"/>
      <c r="C49" s="61"/>
      <c r="D49" s="56" t="s">
        <v>179</v>
      </c>
      <c r="E49" s="54"/>
      <c r="F49" s="54"/>
      <c r="G49" s="54"/>
      <c r="H49" s="52"/>
      <c r="I49" s="52"/>
      <c r="J49" s="52"/>
      <c r="K49" s="52"/>
      <c r="L49" s="52"/>
      <c r="M49" s="52"/>
      <c r="N49" s="52"/>
      <c r="O49" s="52"/>
    </row>
    <row r="50" customFormat="false" ht="14.25" hidden="false" customHeight="false" outlineLevel="0" collapsed="false">
      <c r="B50" s="49"/>
      <c r="C50" s="61"/>
      <c r="D50" s="54" t="s">
        <v>180</v>
      </c>
      <c r="E50" s="54" t="s">
        <v>181</v>
      </c>
      <c r="F50" s="54"/>
      <c r="G50" s="54"/>
      <c r="H50" s="52"/>
      <c r="I50" s="52"/>
      <c r="J50" s="52"/>
      <c r="K50" s="52"/>
      <c r="L50" s="52"/>
      <c r="M50" s="52"/>
      <c r="N50" s="52"/>
      <c r="O50" s="52"/>
    </row>
    <row r="51" customFormat="false" ht="14.25" hidden="false" customHeight="false" outlineLevel="0" collapsed="false">
      <c r="B51" s="49"/>
      <c r="C51" s="61"/>
      <c r="D51" s="54" t="s">
        <v>182</v>
      </c>
      <c r="E51" s="54"/>
      <c r="F51" s="54"/>
      <c r="G51" s="54"/>
      <c r="H51" s="52"/>
      <c r="I51" s="52"/>
      <c r="J51" s="52"/>
      <c r="K51" s="52"/>
      <c r="L51" s="52"/>
      <c r="M51" s="52"/>
      <c r="N51" s="52"/>
      <c r="O51" s="52"/>
    </row>
    <row r="52" customFormat="false" ht="14.25" hidden="false" customHeight="false" outlineLevel="0" collapsed="false">
      <c r="B52" s="49"/>
      <c r="C52" s="61"/>
      <c r="D52" s="54" t="s">
        <v>183</v>
      </c>
      <c r="E52" s="54" t="s">
        <v>184</v>
      </c>
      <c r="F52" s="54"/>
      <c r="G52" s="54"/>
      <c r="H52" s="52"/>
      <c r="I52" s="52"/>
      <c r="J52" s="52"/>
      <c r="K52" s="52"/>
      <c r="L52" s="52"/>
      <c r="M52" s="52"/>
      <c r="N52" s="52"/>
      <c r="O52" s="52"/>
    </row>
    <row r="53" customFormat="false" ht="14.25" hidden="false" customHeight="false" outlineLevel="0" collapsed="false">
      <c r="B53" s="49"/>
      <c r="C53" s="61"/>
      <c r="D53" s="54" t="s">
        <v>185</v>
      </c>
      <c r="E53" s="54"/>
      <c r="F53" s="54"/>
      <c r="G53" s="54"/>
      <c r="H53" s="52"/>
      <c r="I53" s="52"/>
      <c r="J53" s="52"/>
      <c r="K53" s="52"/>
      <c r="L53" s="52"/>
      <c r="M53" s="52"/>
      <c r="N53" s="52"/>
      <c r="O53" s="52"/>
    </row>
    <row r="54" customFormat="false" ht="14.25" hidden="false" customHeight="false" outlineLevel="0" collapsed="false">
      <c r="B54" s="49"/>
      <c r="C54" s="61"/>
      <c r="D54" s="54" t="s">
        <v>186</v>
      </c>
      <c r="E54" s="54"/>
      <c r="F54" s="54"/>
      <c r="G54" s="54"/>
      <c r="H54" s="52"/>
      <c r="I54" s="52"/>
      <c r="J54" s="52"/>
      <c r="K54" s="52"/>
      <c r="L54" s="52"/>
      <c r="M54" s="52"/>
      <c r="N54" s="52"/>
      <c r="O54" s="52"/>
    </row>
    <row r="55" customFormat="false" ht="14.25" hidden="false" customHeight="false" outlineLevel="0" collapsed="false">
      <c r="B55" s="49"/>
      <c r="C55" s="61"/>
      <c r="D55" s="54" t="s">
        <v>187</v>
      </c>
      <c r="E55" s="54"/>
      <c r="F55" s="54"/>
      <c r="G55" s="54"/>
      <c r="H55" s="52"/>
      <c r="I55" s="52"/>
      <c r="J55" s="52"/>
      <c r="K55" s="52"/>
      <c r="L55" s="52"/>
      <c r="M55" s="52"/>
      <c r="N55" s="52"/>
      <c r="O55" s="52"/>
    </row>
    <row r="56" customFormat="false" ht="14.25" hidden="false" customHeight="false" outlineLevel="0" collapsed="false">
      <c r="B56" s="20" t="s">
        <v>188</v>
      </c>
      <c r="C56" s="46" t="s">
        <v>189</v>
      </c>
    </row>
    <row r="57" customFormat="false" ht="14.25" hidden="false" customHeight="false" outlineLevel="0" collapsed="false">
      <c r="B57" s="20" t="s">
        <v>190</v>
      </c>
      <c r="C57" s="46" t="s">
        <v>191</v>
      </c>
    </row>
    <row r="58" customFormat="false" ht="14.25" hidden="false" customHeight="false" outlineLevel="0" collapsed="false">
      <c r="B58" s="20" t="s">
        <v>192</v>
      </c>
      <c r="C58" s="46" t="s">
        <v>191</v>
      </c>
    </row>
    <row r="59" customFormat="false" ht="14.25" hidden="false" customHeight="false" outlineLevel="0" collapsed="false">
      <c r="B59" s="20" t="s">
        <v>193</v>
      </c>
      <c r="C59" s="46" t="s">
        <v>191</v>
      </c>
    </row>
    <row r="60" customFormat="false" ht="14.25" hidden="false" customHeight="false" outlineLevel="0" collapsed="false">
      <c r="B60" s="20" t="s">
        <v>194</v>
      </c>
      <c r="C60" s="46" t="s">
        <v>191</v>
      </c>
    </row>
  </sheetData>
  <mergeCells count="6">
    <mergeCell ref="B4:B38"/>
    <mergeCell ref="C13:C18"/>
    <mergeCell ref="C19:C28"/>
    <mergeCell ref="C29:C38"/>
    <mergeCell ref="B39:B55"/>
    <mergeCell ref="C39:C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7.63"/>
    <col collapsed="false" customWidth="true" hidden="false" outlineLevel="0" max="2" min="2" style="0" width="34.73"/>
  </cols>
  <sheetData>
    <row r="1" customFormat="false" ht="14.25" hidden="false" customHeight="false" outlineLevel="0" collapsed="false">
      <c r="A1" s="47" t="s">
        <v>130</v>
      </c>
      <c r="B1" s="63" t="s">
        <v>195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21"/>
  <sheetViews>
    <sheetView showFormulas="false" showGridLines="true" showRowColHeaders="true" showZeros="true" rightToLeft="false" tabSelected="false" showOutlineSymbols="true" defaultGridColor="true" view="normal" topLeftCell="A86" colorId="64" zoomScale="70" zoomScaleNormal="70" zoomScalePageLayoutView="100" workbookViewId="0">
      <selection pane="topLeft" activeCell="C93" activeCellId="0" sqref="C93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40.63"/>
    <col collapsed="false" customWidth="true" hidden="false" outlineLevel="0" max="3" min="3" style="0" width="18.37"/>
  </cols>
  <sheetData>
    <row r="1" customFormat="false" ht="14.25" hidden="false" customHeight="false" outlineLevel="0" collapsed="false">
      <c r="B1" s="48" t="s">
        <v>132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customFormat="false" ht="14.25" hidden="false" customHeight="false" outlineLevel="0" collapsed="false">
      <c r="B2" s="64" t="s">
        <v>196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6"/>
    </row>
    <row r="3" customFormat="false" ht="31.3" hidden="false" customHeight="true" outlineLevel="0" collapsed="false">
      <c r="B3" s="67"/>
      <c r="C3" s="67"/>
      <c r="D3" s="68" t="s">
        <v>197</v>
      </c>
      <c r="E3" s="68"/>
      <c r="F3" s="68"/>
      <c r="G3" s="68"/>
      <c r="H3" s="68"/>
      <c r="I3" s="67"/>
      <c r="J3" s="69" t="s">
        <v>198</v>
      </c>
      <c r="K3" s="69"/>
      <c r="L3" s="69"/>
      <c r="M3" s="69"/>
      <c r="N3" s="69"/>
      <c r="O3" s="69"/>
      <c r="P3" s="66"/>
    </row>
    <row r="4" customFormat="false" ht="14.25" hidden="false" customHeight="false" outlineLevel="0" collapsed="false">
      <c r="B4" s="70" t="s">
        <v>2</v>
      </c>
      <c r="C4" s="71" t="s">
        <v>3</v>
      </c>
      <c r="D4" s="71" t="s">
        <v>4</v>
      </c>
      <c r="E4" s="71" t="s">
        <v>5</v>
      </c>
      <c r="F4" s="71" t="s">
        <v>6</v>
      </c>
      <c r="G4" s="71" t="s">
        <v>7</v>
      </c>
      <c r="H4" s="71" t="s">
        <v>8</v>
      </c>
      <c r="I4" s="71" t="s">
        <v>199</v>
      </c>
      <c r="J4" s="71" t="s">
        <v>4</v>
      </c>
      <c r="K4" s="71" t="s">
        <v>5</v>
      </c>
      <c r="L4" s="71" t="s">
        <v>6</v>
      </c>
      <c r="M4" s="71" t="s">
        <v>7</v>
      </c>
      <c r="N4" s="71" t="s">
        <v>8</v>
      </c>
      <c r="O4" s="71" t="s">
        <v>36</v>
      </c>
      <c r="P4" s="66"/>
    </row>
    <row r="5" customFormat="false" ht="14.25" hidden="false" customHeight="false" outlineLevel="0" collapsed="false">
      <c r="B5" s="71" t="s">
        <v>167</v>
      </c>
      <c r="C5" s="65" t="s">
        <v>10</v>
      </c>
      <c r="D5" s="65" t="n">
        <v>5</v>
      </c>
      <c r="E5" s="71"/>
      <c r="F5" s="71"/>
      <c r="G5" s="65" t="n">
        <v>5</v>
      </c>
      <c r="H5" s="71"/>
      <c r="I5" s="71" t="n">
        <v>1</v>
      </c>
      <c r="J5" s="65" t="n">
        <f aca="false">D5*$I5</f>
        <v>5</v>
      </c>
      <c r="K5" s="65" t="n">
        <f aca="false">E5*$I5</f>
        <v>0</v>
      </c>
      <c r="L5" s="65" t="n">
        <f aca="false">F5*$I5</f>
        <v>0</v>
      </c>
      <c r="M5" s="65" t="n">
        <f aca="false">G5*$I5</f>
        <v>5</v>
      </c>
      <c r="N5" s="65" t="n">
        <f aca="false">H5*$I5</f>
        <v>0</v>
      </c>
      <c r="O5" s="65" t="n">
        <f aca="false">SUM(J5:N5)</f>
        <v>10</v>
      </c>
      <c r="P5" s="66"/>
    </row>
    <row r="6" customFormat="false" ht="14.25" hidden="false" customHeight="false" outlineLevel="0" collapsed="false">
      <c r="B6" s="71" t="s">
        <v>168</v>
      </c>
      <c r="C6" s="65" t="s">
        <v>12</v>
      </c>
      <c r="D6" s="65" t="n">
        <v>4</v>
      </c>
      <c r="E6" s="71"/>
      <c r="F6" s="71"/>
      <c r="G6" s="65" t="n">
        <v>4</v>
      </c>
      <c r="H6" s="71"/>
      <c r="I6" s="71" t="n">
        <v>2</v>
      </c>
      <c r="J6" s="65" t="n">
        <f aca="false">D6*$I6</f>
        <v>8</v>
      </c>
      <c r="K6" s="65" t="n">
        <f aca="false">E6*$I6</f>
        <v>0</v>
      </c>
      <c r="L6" s="65" t="n">
        <f aca="false">F6*$I6</f>
        <v>0</v>
      </c>
      <c r="M6" s="65" t="n">
        <f aca="false">G6*$I6</f>
        <v>8</v>
      </c>
      <c r="N6" s="65" t="n">
        <f aca="false">H6*$I6</f>
        <v>0</v>
      </c>
      <c r="O6" s="65" t="n">
        <f aca="false">SUM(J6:N6)</f>
        <v>16</v>
      </c>
      <c r="P6" s="66"/>
    </row>
    <row r="7" customFormat="false" ht="14.25" hidden="false" customHeight="false" outlineLevel="0" collapsed="false">
      <c r="B7" s="71" t="s">
        <v>169</v>
      </c>
      <c r="C7" s="65" t="s">
        <v>14</v>
      </c>
      <c r="D7" s="65" t="n">
        <v>3</v>
      </c>
      <c r="E7" s="71"/>
      <c r="F7" s="71"/>
      <c r="G7" s="65" t="n">
        <v>3</v>
      </c>
      <c r="H7" s="71"/>
      <c r="I7" s="71" t="n">
        <v>3</v>
      </c>
      <c r="J7" s="65" t="n">
        <f aca="false">D7*$I7</f>
        <v>9</v>
      </c>
      <c r="K7" s="65" t="n">
        <f aca="false">E7*$I7</f>
        <v>0</v>
      </c>
      <c r="L7" s="65" t="n">
        <f aca="false">F7*$I7</f>
        <v>0</v>
      </c>
      <c r="M7" s="65" t="n">
        <f aca="false">G7*$I7</f>
        <v>9</v>
      </c>
      <c r="N7" s="65" t="n">
        <f aca="false">H7*$I7</f>
        <v>0</v>
      </c>
      <c r="O7" s="65" t="n">
        <f aca="false">SUM(J7:N7)</f>
        <v>18</v>
      </c>
      <c r="P7" s="66"/>
    </row>
    <row r="8" customFormat="false" ht="14.25" hidden="false" customHeight="false" outlineLevel="0" collapsed="false">
      <c r="B8" s="71" t="s">
        <v>170</v>
      </c>
      <c r="C8" s="65" t="s">
        <v>18</v>
      </c>
      <c r="D8" s="65" t="n">
        <v>5</v>
      </c>
      <c r="E8" s="71"/>
      <c r="F8" s="71"/>
      <c r="G8" s="65" t="n">
        <v>5</v>
      </c>
      <c r="H8" s="71"/>
      <c r="I8" s="71" t="n">
        <v>5</v>
      </c>
      <c r="J8" s="65" t="n">
        <f aca="false">D8*$I8</f>
        <v>25</v>
      </c>
      <c r="K8" s="65" t="n">
        <f aca="false">E8*$I8</f>
        <v>0</v>
      </c>
      <c r="L8" s="65" t="n">
        <f aca="false">F8*$I8</f>
        <v>0</v>
      </c>
      <c r="M8" s="65" t="n">
        <f aca="false">G8*$I8</f>
        <v>25</v>
      </c>
      <c r="N8" s="65" t="n">
        <f aca="false">H8*$I8</f>
        <v>0</v>
      </c>
      <c r="O8" s="65" t="n">
        <f aca="false">SUM(J8:N8)</f>
        <v>50</v>
      </c>
      <c r="P8" s="66"/>
    </row>
    <row r="9" customFormat="false" ht="14.25" hidden="false" customHeight="false" outlineLevel="0" collapsed="false">
      <c r="B9" s="71" t="s">
        <v>171</v>
      </c>
      <c r="C9" s="65" t="s">
        <v>18</v>
      </c>
      <c r="D9" s="65" t="n">
        <v>2</v>
      </c>
      <c r="E9" s="71"/>
      <c r="F9" s="71"/>
      <c r="G9" s="65" t="n">
        <v>2</v>
      </c>
      <c r="H9" s="71"/>
      <c r="I9" s="71" t="n">
        <v>5</v>
      </c>
      <c r="J9" s="65" t="n">
        <f aca="false">D9*$I9</f>
        <v>10</v>
      </c>
      <c r="K9" s="65" t="n">
        <f aca="false">E9*$I9</f>
        <v>0</v>
      </c>
      <c r="L9" s="65" t="n">
        <f aca="false">F9*$I9</f>
        <v>0</v>
      </c>
      <c r="M9" s="65" t="n">
        <f aca="false">G9*$I9</f>
        <v>10</v>
      </c>
      <c r="N9" s="65" t="n">
        <f aca="false">H9*$I9</f>
        <v>0</v>
      </c>
      <c r="O9" s="65" t="n">
        <f aca="false">SUM(J9:N9)</f>
        <v>20</v>
      </c>
      <c r="P9" s="66"/>
    </row>
    <row r="10" customFormat="false" ht="14.25" hidden="false" customHeight="false" outlineLevel="0" collapsed="false">
      <c r="B10" s="71" t="s">
        <v>172</v>
      </c>
      <c r="C10" s="65" t="s">
        <v>21</v>
      </c>
      <c r="D10" s="65" t="n">
        <v>5</v>
      </c>
      <c r="E10" s="71"/>
      <c r="F10" s="71"/>
      <c r="G10" s="65" t="n">
        <v>5</v>
      </c>
      <c r="H10" s="71"/>
      <c r="I10" s="71" t="n">
        <v>10</v>
      </c>
      <c r="J10" s="65" t="n">
        <f aca="false">D10*$I10</f>
        <v>50</v>
      </c>
      <c r="K10" s="65" t="n">
        <f aca="false">E10*$I10</f>
        <v>0</v>
      </c>
      <c r="L10" s="65" t="n">
        <f aca="false">F10*$I10</f>
        <v>0</v>
      </c>
      <c r="M10" s="65" t="n">
        <f aca="false">G10*$I10</f>
        <v>50</v>
      </c>
      <c r="N10" s="65" t="n">
        <f aca="false">H10*$I10</f>
        <v>0</v>
      </c>
      <c r="O10" s="65" t="n">
        <f aca="false">SUM(J10:N10)</f>
        <v>100</v>
      </c>
      <c r="P10" s="66"/>
    </row>
    <row r="11" customFormat="false" ht="16.4" hidden="false" customHeight="false" outlineLevel="0" collapsed="false">
      <c r="B11" s="71" t="s">
        <v>200</v>
      </c>
      <c r="C11" s="65" t="s">
        <v>23</v>
      </c>
      <c r="D11" s="65" t="n">
        <v>0</v>
      </c>
      <c r="E11" s="71"/>
      <c r="F11" s="71"/>
      <c r="G11" s="65" t="n">
        <v>5</v>
      </c>
      <c r="H11" s="71"/>
      <c r="I11" s="71" t="n">
        <v>100</v>
      </c>
      <c r="J11" s="65" t="n">
        <f aca="false">D11*$I11</f>
        <v>0</v>
      </c>
      <c r="K11" s="65" t="n">
        <f aca="false">E11*$I11</f>
        <v>0</v>
      </c>
      <c r="L11" s="65" t="n">
        <f aca="false">F11*$I11</f>
        <v>0</v>
      </c>
      <c r="M11" s="65" t="n">
        <f aca="false">G11*$I11</f>
        <v>500</v>
      </c>
      <c r="N11" s="65" t="n">
        <f aca="false">H11*$I11</f>
        <v>0</v>
      </c>
      <c r="O11" s="65" t="n">
        <f aca="false">SUM(J11:N11)</f>
        <v>500</v>
      </c>
      <c r="P11" s="66"/>
    </row>
    <row r="12" customFormat="false" ht="14.25" hidden="false" customHeight="false" outlineLevel="0" collapsed="false">
      <c r="B12" s="71" t="s">
        <v>24</v>
      </c>
      <c r="C12" s="65"/>
      <c r="D12" s="65" t="n">
        <f aca="false">SUM(D5:D11)</f>
        <v>24</v>
      </c>
      <c r="E12" s="65" t="n">
        <f aca="false">SUM(E5:E11)</f>
        <v>0</v>
      </c>
      <c r="F12" s="65" t="n">
        <f aca="false">SUM(F5:F11)</f>
        <v>0</v>
      </c>
      <c r="G12" s="65" t="n">
        <f aca="false">SUM(G5:G11)</f>
        <v>29</v>
      </c>
      <c r="H12" s="65" t="n">
        <f aca="false">SUM(H5:H11)</f>
        <v>0</v>
      </c>
      <c r="I12" s="71"/>
      <c r="J12" s="65"/>
      <c r="K12" s="65"/>
      <c r="L12" s="65"/>
      <c r="M12" s="65"/>
      <c r="N12" s="65"/>
      <c r="O12" s="65"/>
      <c r="P12" s="66"/>
    </row>
    <row r="13" customFormat="false" ht="14.25" hidden="false" customHeight="false" outlineLevel="0" collapsed="false">
      <c r="B13" s="72" t="s">
        <v>25</v>
      </c>
      <c r="C13" s="65"/>
      <c r="D13" s="65"/>
      <c r="E13" s="65"/>
      <c r="F13" s="65"/>
      <c r="G13" s="65"/>
      <c r="H13" s="65"/>
      <c r="I13" s="71"/>
      <c r="J13" s="65" t="n">
        <f aca="false">SUM(J5:J11)</f>
        <v>107</v>
      </c>
      <c r="K13" s="65" t="n">
        <f aca="false">SUM(K5:K11)</f>
        <v>0</v>
      </c>
      <c r="L13" s="65" t="n">
        <f aca="false">SUM(L5:L11)</f>
        <v>0</v>
      </c>
      <c r="M13" s="65" t="n">
        <f aca="false">SUM(M5:M11)</f>
        <v>607</v>
      </c>
      <c r="N13" s="65" t="n">
        <f aca="false">SUM(N5:N11)</f>
        <v>0</v>
      </c>
      <c r="O13" s="65" t="n">
        <f aca="false">SUM(O5:O11)</f>
        <v>714</v>
      </c>
      <c r="P13" s="66"/>
    </row>
    <row r="14" customFormat="false" ht="14.25" hidden="false" customHeight="false" outlineLevel="0" collapsed="false">
      <c r="B14" s="73" t="s">
        <v>201</v>
      </c>
      <c r="C14" s="73" t="s">
        <v>202</v>
      </c>
      <c r="D14" s="67"/>
      <c r="E14" s="67"/>
      <c r="F14" s="67"/>
      <c r="G14" s="67"/>
      <c r="H14" s="67"/>
      <c r="I14" s="67"/>
      <c r="J14" s="67"/>
      <c r="K14" s="74"/>
      <c r="L14" s="74"/>
      <c r="M14" s="74"/>
      <c r="N14" s="74"/>
      <c r="O14" s="74"/>
      <c r="P14" s="66"/>
    </row>
    <row r="15" customFormat="false" ht="14.25" hidden="false" customHeight="false" outlineLevel="0" collapsed="false">
      <c r="B15" s="75" t="s">
        <v>203</v>
      </c>
      <c r="C15" s="65" t="n">
        <f aca="false">_xlfn.FLOOR.MATH($J13/2,10)</f>
        <v>50</v>
      </c>
      <c r="D15" s="67"/>
      <c r="E15" s="67"/>
      <c r="F15" s="67"/>
      <c r="G15" s="67"/>
      <c r="H15" s="67"/>
      <c r="I15" s="67"/>
      <c r="J15" s="67"/>
      <c r="K15" s="74"/>
      <c r="L15" s="74"/>
      <c r="M15" s="74"/>
      <c r="N15" s="74"/>
      <c r="O15" s="74"/>
      <c r="P15" s="66"/>
    </row>
    <row r="16" customFormat="false" ht="14.25" hidden="false" customHeight="false" outlineLevel="0" collapsed="false">
      <c r="B16" s="75" t="s">
        <v>204</v>
      </c>
      <c r="C16" s="65" t="n">
        <f aca="false">_xlfn.FLOOR.MATH($J13,10)</f>
        <v>100</v>
      </c>
      <c r="D16" s="67"/>
      <c r="E16" s="67"/>
      <c r="F16" s="67"/>
      <c r="G16" s="67"/>
      <c r="H16" s="67"/>
      <c r="I16" s="67"/>
      <c r="J16" s="67"/>
      <c r="K16" s="74"/>
      <c r="L16" s="74"/>
      <c r="M16" s="74"/>
      <c r="N16" s="74"/>
      <c r="O16" s="74"/>
      <c r="P16" s="66"/>
    </row>
    <row r="17" customFormat="false" ht="14.25" hidden="false" customHeight="false" outlineLevel="0" collapsed="false">
      <c r="B17" s="75" t="s">
        <v>205</v>
      </c>
      <c r="C17" s="65" t="n">
        <f aca="false">_xlfn.FLOOR.MATH($J13,10)*5</f>
        <v>500</v>
      </c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6"/>
    </row>
    <row r="18" customFormat="false" ht="14.25" hidden="false" customHeight="false" outlineLevel="0" collapsed="false"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6"/>
    </row>
    <row r="19" customFormat="false" ht="14.25" hidden="false" customHeight="false" outlineLevel="0" collapsed="false">
      <c r="B19" s="71" t="s">
        <v>206</v>
      </c>
      <c r="C19" s="71"/>
      <c r="D19" s="71"/>
      <c r="E19" s="76" t="s">
        <v>207</v>
      </c>
      <c r="F19" s="76"/>
      <c r="G19" s="76"/>
      <c r="H19" s="76"/>
      <c r="I19" s="76"/>
      <c r="J19" s="76"/>
      <c r="K19" s="67"/>
      <c r="L19" s="67"/>
      <c r="M19" s="67"/>
      <c r="N19" s="67"/>
      <c r="O19" s="67"/>
      <c r="P19" s="66"/>
    </row>
    <row r="20" customFormat="false" ht="14.25" hidden="false" customHeight="false" outlineLevel="0" collapsed="false">
      <c r="B20" s="71" t="s">
        <v>31</v>
      </c>
      <c r="C20" s="71" t="s">
        <v>208</v>
      </c>
      <c r="D20" s="71" t="s">
        <v>33</v>
      </c>
      <c r="E20" s="71" t="s">
        <v>203</v>
      </c>
      <c r="F20" s="71" t="s">
        <v>204</v>
      </c>
      <c r="G20" s="71" t="s">
        <v>205</v>
      </c>
      <c r="H20" s="71" t="s">
        <v>8</v>
      </c>
      <c r="I20" s="71" t="s">
        <v>8</v>
      </c>
      <c r="J20" s="70" t="s">
        <v>36</v>
      </c>
      <c r="K20" s="67"/>
      <c r="L20" s="67"/>
      <c r="M20" s="67"/>
      <c r="N20" s="67"/>
      <c r="O20" s="67"/>
      <c r="P20" s="66"/>
    </row>
    <row r="21" customFormat="false" ht="14.25" hidden="false" customHeight="true" outlineLevel="0" collapsed="false">
      <c r="B21" s="68" t="s">
        <v>209</v>
      </c>
      <c r="C21" s="68" t="s">
        <v>210</v>
      </c>
      <c r="D21" s="71" t="s">
        <v>39</v>
      </c>
      <c r="E21" s="65" t="n">
        <v>100</v>
      </c>
      <c r="F21" s="65" t="n">
        <v>120</v>
      </c>
      <c r="G21" s="65" t="n">
        <v>100</v>
      </c>
      <c r="H21" s="65"/>
      <c r="I21" s="65"/>
      <c r="J21" s="73" t="n">
        <f aca="false">SUM(E21:I21)</f>
        <v>320</v>
      </c>
      <c r="K21" s="67"/>
      <c r="L21" s="67"/>
      <c r="M21" s="67"/>
      <c r="N21" s="67"/>
      <c r="O21" s="67"/>
      <c r="P21" s="66"/>
    </row>
    <row r="22" customFormat="false" ht="14.25" hidden="false" customHeight="false" outlineLevel="0" collapsed="false">
      <c r="B22" s="68"/>
      <c r="C22" s="68"/>
      <c r="D22" s="71" t="s">
        <v>40</v>
      </c>
      <c r="E22" s="65" t="n">
        <v>100</v>
      </c>
      <c r="F22" s="65" t="n">
        <v>120</v>
      </c>
      <c r="G22" s="65" t="n">
        <v>100</v>
      </c>
      <c r="H22" s="65"/>
      <c r="I22" s="65"/>
      <c r="J22" s="73" t="n">
        <f aca="false">SUM(E22:I22)</f>
        <v>320</v>
      </c>
      <c r="K22" s="67"/>
      <c r="L22" s="67"/>
      <c r="M22" s="67"/>
      <c r="N22" s="67"/>
      <c r="O22" s="67"/>
      <c r="P22" s="66"/>
    </row>
    <row r="23" customFormat="false" ht="14.25" hidden="false" customHeight="false" outlineLevel="0" collapsed="false">
      <c r="B23" s="68"/>
      <c r="C23" s="68"/>
      <c r="D23" s="71" t="s">
        <v>41</v>
      </c>
      <c r="E23" s="65" t="n">
        <v>100</v>
      </c>
      <c r="F23" s="65" t="n">
        <v>120</v>
      </c>
      <c r="G23" s="65" t="n">
        <v>100</v>
      </c>
      <c r="H23" s="65"/>
      <c r="I23" s="65"/>
      <c r="J23" s="73" t="n">
        <f aca="false">SUM(E23:I23)</f>
        <v>320</v>
      </c>
      <c r="K23" s="67"/>
      <c r="L23" s="67"/>
      <c r="M23" s="67"/>
      <c r="N23" s="67"/>
      <c r="O23" s="67"/>
      <c r="P23" s="66"/>
    </row>
    <row r="24" customFormat="false" ht="14.25" hidden="false" customHeight="true" outlineLevel="0" collapsed="false">
      <c r="B24" s="68"/>
      <c r="C24" s="68" t="s">
        <v>211</v>
      </c>
      <c r="D24" s="71" t="s">
        <v>43</v>
      </c>
      <c r="E24" s="65" t="n">
        <v>100</v>
      </c>
      <c r="F24" s="65" t="n">
        <v>120</v>
      </c>
      <c r="G24" s="65" t="n">
        <v>100</v>
      </c>
      <c r="H24" s="65"/>
      <c r="I24" s="65"/>
      <c r="J24" s="73" t="n">
        <f aca="false">SUM(E24:I24)</f>
        <v>320</v>
      </c>
      <c r="K24" s="67"/>
      <c r="L24" s="67"/>
      <c r="M24" s="67"/>
      <c r="N24" s="67"/>
      <c r="O24" s="67"/>
      <c r="P24" s="66"/>
    </row>
    <row r="25" customFormat="false" ht="14.25" hidden="false" customHeight="false" outlineLevel="0" collapsed="false">
      <c r="B25" s="68"/>
      <c r="C25" s="68"/>
      <c r="D25" s="71" t="s">
        <v>44</v>
      </c>
      <c r="E25" s="65" t="n">
        <v>100</v>
      </c>
      <c r="F25" s="65" t="n">
        <v>120</v>
      </c>
      <c r="G25" s="65" t="n">
        <v>100</v>
      </c>
      <c r="H25" s="65"/>
      <c r="I25" s="65"/>
      <c r="J25" s="73" t="n">
        <f aca="false">SUM(E25:I25)</f>
        <v>320</v>
      </c>
      <c r="K25" s="67"/>
      <c r="L25" s="67"/>
      <c r="M25" s="67"/>
      <c r="N25" s="67"/>
      <c r="O25" s="67"/>
      <c r="P25" s="66"/>
    </row>
    <row r="26" customFormat="false" ht="14.25" hidden="false" customHeight="false" outlineLevel="0" collapsed="false">
      <c r="B26" s="68"/>
      <c r="C26" s="68"/>
      <c r="D26" s="71" t="s">
        <v>45</v>
      </c>
      <c r="E26" s="65" t="n">
        <v>100</v>
      </c>
      <c r="F26" s="65" t="n">
        <v>120</v>
      </c>
      <c r="G26" s="65" t="n">
        <v>100</v>
      </c>
      <c r="H26" s="65"/>
      <c r="I26" s="65"/>
      <c r="J26" s="73" t="n">
        <f aca="false">SUM(E26:I26)</f>
        <v>320</v>
      </c>
      <c r="K26" s="67"/>
      <c r="L26" s="67"/>
      <c r="M26" s="67"/>
      <c r="N26" s="67"/>
      <c r="O26" s="67"/>
      <c r="P26" s="66"/>
    </row>
    <row r="27" customFormat="false" ht="14.25" hidden="false" customHeight="true" outlineLevel="0" collapsed="false">
      <c r="B27" s="68"/>
      <c r="C27" s="68" t="s">
        <v>212</v>
      </c>
      <c r="D27" s="71" t="s">
        <v>47</v>
      </c>
      <c r="E27" s="65" t="n">
        <v>100</v>
      </c>
      <c r="F27" s="65" t="n">
        <v>120</v>
      </c>
      <c r="G27" s="65" t="n">
        <v>100</v>
      </c>
      <c r="H27" s="65"/>
      <c r="I27" s="65"/>
      <c r="J27" s="73" t="n">
        <f aca="false">SUM(E27:I27)</f>
        <v>320</v>
      </c>
      <c r="K27" s="67"/>
      <c r="L27" s="67"/>
      <c r="M27" s="67"/>
      <c r="N27" s="67"/>
      <c r="O27" s="67"/>
      <c r="P27" s="66"/>
    </row>
    <row r="28" customFormat="false" ht="14.25" hidden="false" customHeight="false" outlineLevel="0" collapsed="false">
      <c r="B28" s="68"/>
      <c r="C28" s="68"/>
      <c r="D28" s="71" t="s">
        <v>48</v>
      </c>
      <c r="E28" s="65" t="n">
        <v>100</v>
      </c>
      <c r="F28" s="65" t="n">
        <v>120</v>
      </c>
      <c r="G28" s="65" t="n">
        <v>100</v>
      </c>
      <c r="H28" s="65"/>
      <c r="I28" s="65"/>
      <c r="J28" s="73" t="n">
        <f aca="false">SUM(E28:I28)</f>
        <v>320</v>
      </c>
      <c r="K28" s="67"/>
      <c r="L28" s="67"/>
      <c r="M28" s="67"/>
      <c r="N28" s="67"/>
      <c r="O28" s="67"/>
      <c r="P28" s="66"/>
    </row>
    <row r="29" customFormat="false" ht="14.25" hidden="false" customHeight="false" outlineLevel="0" collapsed="false">
      <c r="B29" s="68"/>
      <c r="C29" s="68"/>
      <c r="D29" s="71" t="s">
        <v>49</v>
      </c>
      <c r="E29" s="65" t="n">
        <v>100</v>
      </c>
      <c r="F29" s="65" t="n">
        <v>120</v>
      </c>
      <c r="G29" s="65" t="n">
        <v>100</v>
      </c>
      <c r="H29" s="65"/>
      <c r="I29" s="65"/>
      <c r="J29" s="73" t="n">
        <f aca="false">SUM(E29:I29)</f>
        <v>320</v>
      </c>
      <c r="K29" s="67"/>
      <c r="L29" s="67"/>
      <c r="M29" s="67"/>
      <c r="N29" s="67"/>
      <c r="O29" s="67"/>
      <c r="P29" s="66"/>
    </row>
    <row r="30" customFormat="false" ht="16.4" hidden="false" customHeight="false" outlineLevel="0" collapsed="false">
      <c r="B30" s="68"/>
      <c r="C30" s="77" t="s">
        <v>213</v>
      </c>
      <c r="D30" s="71"/>
      <c r="E30" s="65"/>
      <c r="F30" s="65"/>
      <c r="G30" s="65"/>
      <c r="H30" s="65"/>
      <c r="I30" s="65"/>
      <c r="J30" s="73" t="n">
        <f aca="false">SUM(E30:I30)</f>
        <v>0</v>
      </c>
      <c r="K30" s="67"/>
      <c r="L30" s="67"/>
      <c r="M30" s="67"/>
      <c r="N30" s="67"/>
      <c r="O30" s="67"/>
      <c r="P30" s="66"/>
    </row>
    <row r="31" customFormat="false" ht="14.25" hidden="false" customHeight="false" outlineLevel="0" collapsed="false">
      <c r="B31" s="68"/>
      <c r="C31" s="78"/>
      <c r="D31" s="71"/>
      <c r="E31" s="65"/>
      <c r="F31" s="65"/>
      <c r="G31" s="65"/>
      <c r="H31" s="65"/>
      <c r="I31" s="65"/>
      <c r="J31" s="73" t="n">
        <f aca="false">SUM(E31:I31)</f>
        <v>0</v>
      </c>
      <c r="K31" s="67"/>
      <c r="L31" s="67"/>
      <c r="M31" s="67"/>
      <c r="N31" s="67"/>
      <c r="O31" s="67"/>
      <c r="P31" s="66"/>
    </row>
    <row r="32" customFormat="false" ht="14.25" hidden="false" customHeight="false" outlineLevel="0" collapsed="false">
      <c r="B32" s="68"/>
      <c r="C32" s="79"/>
      <c r="D32" s="71"/>
      <c r="E32" s="65"/>
      <c r="F32" s="65"/>
      <c r="G32" s="65"/>
      <c r="H32" s="65"/>
      <c r="I32" s="65"/>
      <c r="J32" s="73" t="n">
        <f aca="false">SUM(E32:I32)</f>
        <v>0</v>
      </c>
      <c r="K32" s="67"/>
      <c r="L32" s="67"/>
      <c r="M32" s="67"/>
      <c r="N32" s="67"/>
      <c r="O32" s="67"/>
      <c r="P32" s="66"/>
    </row>
    <row r="33" customFormat="false" ht="16.4" hidden="false" customHeight="false" outlineLevel="0" collapsed="false">
      <c r="B33" s="68"/>
      <c r="C33" s="77" t="s">
        <v>213</v>
      </c>
      <c r="D33" s="71"/>
      <c r="E33" s="65"/>
      <c r="F33" s="65"/>
      <c r="G33" s="65"/>
      <c r="H33" s="65"/>
      <c r="I33" s="65"/>
      <c r="J33" s="73" t="n">
        <f aca="false">SUM(E33:I33)</f>
        <v>0</v>
      </c>
      <c r="K33" s="67"/>
      <c r="L33" s="67"/>
      <c r="M33" s="67"/>
      <c r="N33" s="67"/>
      <c r="O33" s="67"/>
      <c r="P33" s="66"/>
    </row>
    <row r="34" customFormat="false" ht="14.25" hidden="false" customHeight="false" outlineLevel="0" collapsed="false">
      <c r="B34" s="68"/>
      <c r="C34" s="78"/>
      <c r="D34" s="71"/>
      <c r="E34" s="65"/>
      <c r="F34" s="65"/>
      <c r="G34" s="65"/>
      <c r="H34" s="65"/>
      <c r="I34" s="65"/>
      <c r="J34" s="73" t="n">
        <f aca="false">SUM(E34:I34)</f>
        <v>0</v>
      </c>
      <c r="K34" s="67"/>
      <c r="L34" s="67"/>
      <c r="M34" s="67"/>
      <c r="N34" s="67"/>
      <c r="O34" s="67"/>
      <c r="P34" s="66"/>
    </row>
    <row r="35" customFormat="false" ht="14.25" hidden="false" customHeight="false" outlineLevel="0" collapsed="false">
      <c r="B35" s="68"/>
      <c r="C35" s="79"/>
      <c r="D35" s="71"/>
      <c r="E35" s="65"/>
      <c r="F35" s="65"/>
      <c r="G35" s="65"/>
      <c r="H35" s="65"/>
      <c r="I35" s="65"/>
      <c r="J35" s="73" t="n">
        <f aca="false">SUM(E35:I35)</f>
        <v>0</v>
      </c>
      <c r="K35" s="67"/>
      <c r="L35" s="67"/>
      <c r="M35" s="67"/>
      <c r="N35" s="67"/>
      <c r="O35" s="67"/>
      <c r="P35" s="66"/>
    </row>
    <row r="36" customFormat="false" ht="16.4" hidden="false" customHeight="false" outlineLevel="0" collapsed="false">
      <c r="B36" s="68"/>
      <c r="C36" s="77" t="s">
        <v>213</v>
      </c>
      <c r="D36" s="71"/>
      <c r="E36" s="65"/>
      <c r="F36" s="65"/>
      <c r="G36" s="65"/>
      <c r="H36" s="65"/>
      <c r="I36" s="65"/>
      <c r="J36" s="73" t="n">
        <f aca="false">SUM(E36:I36)</f>
        <v>0</v>
      </c>
      <c r="K36" s="67"/>
      <c r="L36" s="67"/>
      <c r="M36" s="67"/>
      <c r="N36" s="67"/>
      <c r="O36" s="67"/>
      <c r="P36" s="66"/>
    </row>
    <row r="37" customFormat="false" ht="14.25" hidden="false" customHeight="false" outlineLevel="0" collapsed="false">
      <c r="B37" s="68"/>
      <c r="C37" s="78"/>
      <c r="D37" s="71"/>
      <c r="E37" s="65"/>
      <c r="F37" s="65"/>
      <c r="G37" s="65"/>
      <c r="H37" s="65"/>
      <c r="I37" s="65"/>
      <c r="J37" s="73" t="n">
        <f aca="false">SUM(E37:I37)</f>
        <v>0</v>
      </c>
      <c r="K37" s="67"/>
      <c r="L37" s="67"/>
      <c r="M37" s="67"/>
      <c r="N37" s="67"/>
      <c r="O37" s="67"/>
      <c r="P37" s="66"/>
    </row>
    <row r="38" customFormat="false" ht="14.25" hidden="false" customHeight="false" outlineLevel="0" collapsed="false">
      <c r="B38" s="68"/>
      <c r="C38" s="79"/>
      <c r="D38" s="71"/>
      <c r="E38" s="65"/>
      <c r="F38" s="65"/>
      <c r="G38" s="65"/>
      <c r="H38" s="65"/>
      <c r="I38" s="65"/>
      <c r="J38" s="73" t="n">
        <f aca="false">SUM(E38:I38)</f>
        <v>0</v>
      </c>
      <c r="K38" s="67"/>
      <c r="L38" s="67"/>
      <c r="M38" s="67"/>
      <c r="N38" s="67"/>
      <c r="O38" s="67"/>
      <c r="P38" s="66"/>
    </row>
    <row r="39" customFormat="false" ht="16.4" hidden="false" customHeight="false" outlineLevel="0" collapsed="false">
      <c r="B39" s="68"/>
      <c r="C39" s="77" t="s">
        <v>213</v>
      </c>
      <c r="D39" s="71"/>
      <c r="E39" s="65"/>
      <c r="F39" s="65"/>
      <c r="G39" s="65"/>
      <c r="H39" s="65"/>
      <c r="I39" s="65"/>
      <c r="J39" s="73" t="n">
        <f aca="false">SUM(E39:I39)</f>
        <v>0</v>
      </c>
      <c r="K39" s="67"/>
      <c r="L39" s="67"/>
      <c r="M39" s="67"/>
      <c r="N39" s="67"/>
      <c r="O39" s="67"/>
      <c r="P39" s="66"/>
    </row>
    <row r="40" customFormat="false" ht="14.25" hidden="false" customHeight="false" outlineLevel="0" collapsed="false">
      <c r="B40" s="68"/>
      <c r="C40" s="78"/>
      <c r="D40" s="71"/>
      <c r="E40" s="65"/>
      <c r="F40" s="65"/>
      <c r="G40" s="65"/>
      <c r="H40" s="65"/>
      <c r="I40" s="65"/>
      <c r="J40" s="73" t="n">
        <f aca="false">SUM(E40:I40)</f>
        <v>0</v>
      </c>
      <c r="K40" s="67"/>
      <c r="L40" s="67"/>
      <c r="M40" s="67"/>
      <c r="N40" s="67"/>
      <c r="O40" s="67"/>
      <c r="P40" s="66"/>
    </row>
    <row r="41" customFormat="false" ht="14.25" hidden="false" customHeight="false" outlineLevel="0" collapsed="false">
      <c r="B41" s="68"/>
      <c r="C41" s="79"/>
      <c r="D41" s="71"/>
      <c r="E41" s="65"/>
      <c r="F41" s="65"/>
      <c r="G41" s="65"/>
      <c r="H41" s="65"/>
      <c r="I41" s="65"/>
      <c r="J41" s="73" t="n">
        <f aca="false">SUM(E41:I41)</f>
        <v>0</v>
      </c>
      <c r="K41" s="67"/>
      <c r="L41" s="67"/>
      <c r="M41" s="67"/>
      <c r="N41" s="67"/>
      <c r="O41" s="67"/>
      <c r="P41" s="66"/>
    </row>
    <row r="42" customFormat="false" ht="14.25" hidden="false" customHeight="false" outlineLevel="0" collapsed="false">
      <c r="B42" s="71" t="s">
        <v>214</v>
      </c>
      <c r="C42" s="71"/>
      <c r="D42" s="71"/>
      <c r="E42" s="65" t="n">
        <f aca="false">SUM(E21:E41)</f>
        <v>900</v>
      </c>
      <c r="F42" s="65" t="n">
        <f aca="false">SUM(F21:F41)</f>
        <v>1080</v>
      </c>
      <c r="G42" s="65" t="n">
        <f aca="false">SUM(G21:G41)</f>
        <v>900</v>
      </c>
      <c r="H42" s="65" t="n">
        <f aca="false">SUM(H21:H41)</f>
        <v>0</v>
      </c>
      <c r="I42" s="65" t="n">
        <f aca="false">SUM(I21:I41)</f>
        <v>0</v>
      </c>
      <c r="J42" s="73" t="n">
        <f aca="false">SUM(E42:I42)</f>
        <v>2880</v>
      </c>
      <c r="K42" s="67"/>
      <c r="L42" s="67"/>
      <c r="M42" s="67"/>
      <c r="N42" s="67"/>
      <c r="O42" s="67"/>
      <c r="P42" s="66"/>
    </row>
    <row r="43" customFormat="false" ht="14.25" hidden="false" customHeight="false" outlineLevel="0" collapsed="false">
      <c r="B43" s="71" t="s">
        <v>215</v>
      </c>
      <c r="C43" s="71"/>
      <c r="D43" s="71"/>
      <c r="E43" s="65" t="e">
        <f aca="false">SUM(E21:E41)*$C$82/2</f>
        <v>#VALUE!</v>
      </c>
      <c r="F43" s="65" t="n">
        <f aca="false">SUM(F21:F41)*$C$83</f>
        <v>0</v>
      </c>
      <c r="G43" s="65" t="n">
        <f aca="false">SUM(G21:G41)*$C$84</f>
        <v>0</v>
      </c>
      <c r="H43" s="65" t="n">
        <f aca="false">SUM(H21:H41)</f>
        <v>0</v>
      </c>
      <c r="I43" s="65" t="n">
        <f aca="false">SUM(I21:I41)</f>
        <v>0</v>
      </c>
      <c r="J43" s="73" t="e">
        <f aca="false">SUM(E43:I43)</f>
        <v>#VALUE!</v>
      </c>
      <c r="K43" s="67"/>
      <c r="L43" s="67"/>
      <c r="M43" s="67"/>
      <c r="N43" s="67"/>
      <c r="O43" s="67"/>
      <c r="P43" s="66"/>
    </row>
    <row r="44" customFormat="false" ht="14.25" hidden="false" customHeight="true" outlineLevel="0" collapsed="false">
      <c r="B44" s="68" t="s">
        <v>216</v>
      </c>
      <c r="C44" s="68" t="s">
        <v>38</v>
      </c>
      <c r="D44" s="71" t="s">
        <v>39</v>
      </c>
      <c r="E44" s="65" t="n">
        <v>100</v>
      </c>
      <c r="F44" s="65" t="n">
        <v>120</v>
      </c>
      <c r="G44" s="65" t="n">
        <v>100</v>
      </c>
      <c r="H44" s="65"/>
      <c r="I44" s="65"/>
      <c r="J44" s="73" t="n">
        <f aca="false">SUM(E44:I44)</f>
        <v>320</v>
      </c>
      <c r="K44" s="67"/>
      <c r="L44" s="67"/>
      <c r="M44" s="67"/>
      <c r="N44" s="67"/>
      <c r="O44" s="67"/>
      <c r="P44" s="66"/>
    </row>
    <row r="45" customFormat="false" ht="14.25" hidden="false" customHeight="false" outlineLevel="0" collapsed="false">
      <c r="B45" s="68"/>
      <c r="C45" s="68"/>
      <c r="D45" s="71" t="s">
        <v>40</v>
      </c>
      <c r="E45" s="65" t="n">
        <v>100</v>
      </c>
      <c r="F45" s="65" t="n">
        <v>120</v>
      </c>
      <c r="G45" s="65" t="n">
        <v>100</v>
      </c>
      <c r="H45" s="65"/>
      <c r="I45" s="65"/>
      <c r="J45" s="73" t="n">
        <f aca="false">SUM(E45:I45)</f>
        <v>320</v>
      </c>
      <c r="K45" s="67"/>
      <c r="L45" s="67"/>
      <c r="M45" s="67"/>
      <c r="N45" s="67"/>
      <c r="O45" s="67"/>
      <c r="P45" s="66"/>
    </row>
    <row r="46" customFormat="false" ht="14.25" hidden="false" customHeight="false" outlineLevel="0" collapsed="false">
      <c r="B46" s="68"/>
      <c r="C46" s="68"/>
      <c r="D46" s="71" t="s">
        <v>41</v>
      </c>
      <c r="E46" s="65" t="n">
        <v>100</v>
      </c>
      <c r="F46" s="65" t="n">
        <v>120</v>
      </c>
      <c r="G46" s="65" t="n">
        <v>100</v>
      </c>
      <c r="H46" s="65"/>
      <c r="I46" s="65"/>
      <c r="J46" s="73" t="n">
        <f aca="false">SUM(E46:I46)</f>
        <v>320</v>
      </c>
      <c r="K46" s="67"/>
      <c r="L46" s="67"/>
      <c r="M46" s="67"/>
      <c r="N46" s="67"/>
      <c r="O46" s="67"/>
      <c r="P46" s="66"/>
    </row>
    <row r="47" customFormat="false" ht="14.25" hidden="false" customHeight="true" outlineLevel="0" collapsed="false">
      <c r="B47" s="68"/>
      <c r="C47" s="68" t="s">
        <v>42</v>
      </c>
      <c r="D47" s="71" t="s">
        <v>43</v>
      </c>
      <c r="E47" s="65" t="n">
        <v>100</v>
      </c>
      <c r="F47" s="65" t="n">
        <v>120</v>
      </c>
      <c r="G47" s="65" t="n">
        <v>100</v>
      </c>
      <c r="H47" s="65"/>
      <c r="I47" s="65"/>
      <c r="J47" s="73" t="n">
        <f aca="false">SUM(E47:I47)</f>
        <v>320</v>
      </c>
      <c r="K47" s="67"/>
      <c r="L47" s="67"/>
      <c r="M47" s="67"/>
      <c r="N47" s="67"/>
      <c r="O47" s="67"/>
      <c r="P47" s="66"/>
    </row>
    <row r="48" customFormat="false" ht="14.25" hidden="false" customHeight="false" outlineLevel="0" collapsed="false">
      <c r="B48" s="68"/>
      <c r="C48" s="68"/>
      <c r="D48" s="71" t="s">
        <v>44</v>
      </c>
      <c r="E48" s="65" t="n">
        <v>100</v>
      </c>
      <c r="F48" s="65" t="n">
        <v>120</v>
      </c>
      <c r="G48" s="65" t="n">
        <v>100</v>
      </c>
      <c r="H48" s="65"/>
      <c r="I48" s="65"/>
      <c r="J48" s="73" t="n">
        <f aca="false">SUM(E48:I48)</f>
        <v>320</v>
      </c>
      <c r="K48" s="67"/>
      <c r="L48" s="67"/>
      <c r="M48" s="67"/>
      <c r="N48" s="67"/>
      <c r="O48" s="67"/>
      <c r="P48" s="66"/>
    </row>
    <row r="49" customFormat="false" ht="14.25" hidden="false" customHeight="false" outlineLevel="0" collapsed="false">
      <c r="B49" s="68"/>
      <c r="C49" s="68"/>
      <c r="D49" s="71" t="s">
        <v>45</v>
      </c>
      <c r="E49" s="65" t="n">
        <v>100</v>
      </c>
      <c r="F49" s="65" t="n">
        <v>120</v>
      </c>
      <c r="G49" s="65" t="n">
        <v>100</v>
      </c>
      <c r="H49" s="65"/>
      <c r="I49" s="65"/>
      <c r="J49" s="73" t="n">
        <f aca="false">SUM(E49:I49)</f>
        <v>320</v>
      </c>
      <c r="K49" s="67"/>
      <c r="L49" s="67"/>
      <c r="M49" s="67"/>
      <c r="N49" s="67"/>
      <c r="O49" s="67"/>
      <c r="P49" s="66"/>
    </row>
    <row r="50" customFormat="false" ht="14.25" hidden="false" customHeight="true" outlineLevel="0" collapsed="false">
      <c r="B50" s="68"/>
      <c r="C50" s="68" t="s">
        <v>46</v>
      </c>
      <c r="D50" s="71" t="s">
        <v>47</v>
      </c>
      <c r="E50" s="65" t="n">
        <v>100</v>
      </c>
      <c r="F50" s="65" t="n">
        <v>120</v>
      </c>
      <c r="G50" s="65" t="n">
        <v>100</v>
      </c>
      <c r="H50" s="65"/>
      <c r="I50" s="65"/>
      <c r="J50" s="73" t="n">
        <f aca="false">SUM(E50:I50)</f>
        <v>320</v>
      </c>
      <c r="K50" s="67"/>
      <c r="L50" s="67"/>
      <c r="M50" s="67"/>
      <c r="N50" s="67"/>
      <c r="O50" s="67"/>
      <c r="P50" s="66"/>
    </row>
    <row r="51" customFormat="false" ht="14.25" hidden="false" customHeight="false" outlineLevel="0" collapsed="false">
      <c r="B51" s="68"/>
      <c r="C51" s="68"/>
      <c r="D51" s="71" t="s">
        <v>48</v>
      </c>
      <c r="E51" s="65" t="n">
        <v>100</v>
      </c>
      <c r="F51" s="65" t="n">
        <v>120</v>
      </c>
      <c r="G51" s="65" t="n">
        <v>100</v>
      </c>
      <c r="H51" s="65"/>
      <c r="I51" s="65"/>
      <c r="J51" s="73" t="n">
        <f aca="false">SUM(E51:I51)</f>
        <v>320</v>
      </c>
      <c r="K51" s="67"/>
      <c r="L51" s="67"/>
      <c r="M51" s="67"/>
      <c r="N51" s="67"/>
      <c r="O51" s="67"/>
      <c r="P51" s="66"/>
    </row>
    <row r="52" customFormat="false" ht="14.25" hidden="false" customHeight="false" outlineLevel="0" collapsed="false">
      <c r="B52" s="68"/>
      <c r="C52" s="68"/>
      <c r="D52" s="71" t="s">
        <v>49</v>
      </c>
      <c r="E52" s="65" t="n">
        <v>100</v>
      </c>
      <c r="F52" s="65" t="n">
        <v>120</v>
      </c>
      <c r="G52" s="65" t="n">
        <v>100</v>
      </c>
      <c r="H52" s="65"/>
      <c r="I52" s="65"/>
      <c r="J52" s="73" t="n">
        <f aca="false">SUM(E52:I52)</f>
        <v>320</v>
      </c>
      <c r="K52" s="67"/>
      <c r="L52" s="67"/>
      <c r="M52" s="67"/>
      <c r="N52" s="67"/>
      <c r="O52" s="67"/>
      <c r="P52" s="66"/>
    </row>
    <row r="53" customFormat="false" ht="16.4" hidden="false" customHeight="false" outlineLevel="0" collapsed="false">
      <c r="B53" s="68"/>
      <c r="C53" s="77" t="s">
        <v>213</v>
      </c>
      <c r="D53" s="71"/>
      <c r="E53" s="65"/>
      <c r="F53" s="65"/>
      <c r="G53" s="65"/>
      <c r="H53" s="65"/>
      <c r="I53" s="65"/>
      <c r="J53" s="73" t="n">
        <f aca="false">SUM(E53:I53)</f>
        <v>0</v>
      </c>
      <c r="K53" s="67"/>
      <c r="L53" s="67"/>
      <c r="M53" s="67"/>
      <c r="N53" s="67"/>
      <c r="O53" s="67"/>
      <c r="P53" s="66"/>
    </row>
    <row r="54" customFormat="false" ht="14.25" hidden="false" customHeight="false" outlineLevel="0" collapsed="false">
      <c r="B54" s="68"/>
      <c r="C54" s="78"/>
      <c r="D54" s="71"/>
      <c r="E54" s="65"/>
      <c r="F54" s="65"/>
      <c r="G54" s="65"/>
      <c r="H54" s="65"/>
      <c r="I54" s="65"/>
      <c r="J54" s="73" t="n">
        <f aca="false">SUM(E54:I54)</f>
        <v>0</v>
      </c>
      <c r="K54" s="67"/>
      <c r="L54" s="67"/>
      <c r="M54" s="67"/>
      <c r="N54" s="67"/>
      <c r="O54" s="67"/>
      <c r="P54" s="66"/>
    </row>
    <row r="55" customFormat="false" ht="14.25" hidden="false" customHeight="false" outlineLevel="0" collapsed="false">
      <c r="B55" s="68"/>
      <c r="C55" s="79"/>
      <c r="D55" s="71"/>
      <c r="E55" s="65"/>
      <c r="F55" s="65"/>
      <c r="G55" s="65"/>
      <c r="H55" s="65"/>
      <c r="I55" s="65"/>
      <c r="J55" s="73" t="n">
        <f aca="false">SUM(E55:I55)</f>
        <v>0</v>
      </c>
      <c r="K55" s="67"/>
      <c r="L55" s="67"/>
      <c r="M55" s="67"/>
      <c r="N55" s="67"/>
      <c r="O55" s="67"/>
      <c r="P55" s="66"/>
    </row>
    <row r="56" customFormat="false" ht="16.4" hidden="false" customHeight="false" outlineLevel="0" collapsed="false">
      <c r="B56" s="68"/>
      <c r="C56" s="77" t="s">
        <v>213</v>
      </c>
      <c r="D56" s="71"/>
      <c r="E56" s="65"/>
      <c r="F56" s="65"/>
      <c r="G56" s="65"/>
      <c r="H56" s="65"/>
      <c r="I56" s="65"/>
      <c r="J56" s="73" t="n">
        <f aca="false">SUM(E56:I56)</f>
        <v>0</v>
      </c>
      <c r="K56" s="67"/>
      <c r="L56" s="67"/>
      <c r="M56" s="67"/>
      <c r="N56" s="67"/>
      <c r="O56" s="67"/>
      <c r="P56" s="66"/>
    </row>
    <row r="57" customFormat="false" ht="14.25" hidden="false" customHeight="false" outlineLevel="0" collapsed="false">
      <c r="B57" s="68"/>
      <c r="C57" s="78"/>
      <c r="D57" s="71"/>
      <c r="E57" s="65"/>
      <c r="F57" s="65"/>
      <c r="G57" s="65"/>
      <c r="H57" s="65"/>
      <c r="I57" s="65"/>
      <c r="J57" s="73" t="n">
        <f aca="false">SUM(E57:I57)</f>
        <v>0</v>
      </c>
      <c r="K57" s="67"/>
      <c r="L57" s="67"/>
      <c r="M57" s="67"/>
      <c r="N57" s="67"/>
      <c r="O57" s="67"/>
      <c r="P57" s="66"/>
    </row>
    <row r="58" customFormat="false" ht="14.25" hidden="false" customHeight="false" outlineLevel="0" collapsed="false">
      <c r="B58" s="68"/>
      <c r="C58" s="79"/>
      <c r="D58" s="71"/>
      <c r="E58" s="65"/>
      <c r="F58" s="65"/>
      <c r="G58" s="65"/>
      <c r="H58" s="65"/>
      <c r="I58" s="65"/>
      <c r="J58" s="73" t="n">
        <f aca="false">SUM(E58:I58)</f>
        <v>0</v>
      </c>
      <c r="K58" s="67"/>
      <c r="L58" s="67"/>
      <c r="M58" s="67"/>
      <c r="N58" s="67"/>
      <c r="O58" s="67"/>
      <c r="P58" s="66"/>
    </row>
    <row r="59" customFormat="false" ht="16.4" hidden="false" customHeight="false" outlineLevel="0" collapsed="false">
      <c r="B59" s="68"/>
      <c r="C59" s="77" t="s">
        <v>213</v>
      </c>
      <c r="D59" s="71"/>
      <c r="E59" s="65"/>
      <c r="F59" s="65"/>
      <c r="G59" s="65"/>
      <c r="H59" s="65"/>
      <c r="I59" s="65"/>
      <c r="J59" s="73" t="n">
        <f aca="false">SUM(E59:I59)</f>
        <v>0</v>
      </c>
      <c r="K59" s="67"/>
      <c r="L59" s="67"/>
      <c r="M59" s="67"/>
      <c r="N59" s="67"/>
      <c r="O59" s="67"/>
      <c r="P59" s="66"/>
    </row>
    <row r="60" customFormat="false" ht="14.25" hidden="false" customHeight="false" outlineLevel="0" collapsed="false">
      <c r="B60" s="68"/>
      <c r="C60" s="78"/>
      <c r="D60" s="71"/>
      <c r="E60" s="65"/>
      <c r="F60" s="65"/>
      <c r="G60" s="65"/>
      <c r="H60" s="65"/>
      <c r="I60" s="65"/>
      <c r="J60" s="73" t="n">
        <f aca="false">SUM(E60:I60)</f>
        <v>0</v>
      </c>
      <c r="K60" s="67"/>
      <c r="L60" s="67"/>
      <c r="M60" s="67"/>
      <c r="N60" s="67"/>
      <c r="O60" s="67"/>
      <c r="P60" s="66"/>
    </row>
    <row r="61" customFormat="false" ht="14.25" hidden="false" customHeight="false" outlineLevel="0" collapsed="false">
      <c r="B61" s="68"/>
      <c r="C61" s="79"/>
      <c r="D61" s="71"/>
      <c r="E61" s="65"/>
      <c r="F61" s="65"/>
      <c r="G61" s="65"/>
      <c r="H61" s="65"/>
      <c r="I61" s="65"/>
      <c r="J61" s="73" t="n">
        <f aca="false">SUM(E61:I61)</f>
        <v>0</v>
      </c>
      <c r="K61" s="67"/>
      <c r="L61" s="67"/>
      <c r="M61" s="67"/>
      <c r="N61" s="67"/>
      <c r="O61" s="67"/>
      <c r="P61" s="66"/>
    </row>
    <row r="62" customFormat="false" ht="16.4" hidden="false" customHeight="false" outlineLevel="0" collapsed="false">
      <c r="B62" s="68"/>
      <c r="C62" s="77" t="s">
        <v>213</v>
      </c>
      <c r="D62" s="71"/>
      <c r="E62" s="65"/>
      <c r="F62" s="65"/>
      <c r="G62" s="65"/>
      <c r="H62" s="65"/>
      <c r="I62" s="65"/>
      <c r="J62" s="73" t="n">
        <f aca="false">SUM(E62:I62)</f>
        <v>0</v>
      </c>
      <c r="K62" s="67"/>
      <c r="L62" s="67"/>
      <c r="M62" s="67"/>
      <c r="N62" s="67"/>
      <c r="O62" s="67"/>
      <c r="P62" s="66"/>
    </row>
    <row r="63" customFormat="false" ht="14.25" hidden="false" customHeight="false" outlineLevel="0" collapsed="false">
      <c r="B63" s="68"/>
      <c r="C63" s="78"/>
      <c r="D63" s="71"/>
      <c r="E63" s="65"/>
      <c r="F63" s="65"/>
      <c r="G63" s="65"/>
      <c r="H63" s="65"/>
      <c r="I63" s="65"/>
      <c r="J63" s="73" t="n">
        <f aca="false">SUM(E63:I63)</f>
        <v>0</v>
      </c>
      <c r="K63" s="67"/>
      <c r="L63" s="67"/>
      <c r="M63" s="67"/>
      <c r="N63" s="67"/>
      <c r="O63" s="67"/>
      <c r="P63" s="66"/>
    </row>
    <row r="64" customFormat="false" ht="14.25" hidden="false" customHeight="false" outlineLevel="0" collapsed="false">
      <c r="B64" s="68"/>
      <c r="C64" s="79"/>
      <c r="D64" s="71"/>
      <c r="E64" s="65"/>
      <c r="F64" s="65"/>
      <c r="G64" s="65"/>
      <c r="H64" s="65"/>
      <c r="I64" s="65"/>
      <c r="J64" s="73" t="n">
        <f aca="false">SUM(E64:I64)</f>
        <v>0</v>
      </c>
      <c r="K64" s="67"/>
      <c r="L64" s="67"/>
      <c r="M64" s="67"/>
      <c r="N64" s="67"/>
      <c r="O64" s="67"/>
      <c r="P64" s="66"/>
    </row>
    <row r="65" customFormat="false" ht="14.25" hidden="false" customHeight="false" outlineLevel="0" collapsed="false">
      <c r="B65" s="71" t="s">
        <v>217</v>
      </c>
      <c r="C65" s="71"/>
      <c r="D65" s="71"/>
      <c r="E65" s="65" t="n">
        <f aca="false">SUM(E44:E64)</f>
        <v>900</v>
      </c>
      <c r="F65" s="65" t="n">
        <f aca="false">SUM(F44:F64)</f>
        <v>1080</v>
      </c>
      <c r="G65" s="65" t="n">
        <f aca="false">SUM(G44:G64)</f>
        <v>900</v>
      </c>
      <c r="H65" s="65" t="n">
        <f aca="false">SUM(H44:H64)</f>
        <v>0</v>
      </c>
      <c r="I65" s="65" t="n">
        <f aca="false">SUM(I44:I64)</f>
        <v>0</v>
      </c>
      <c r="J65" s="73" t="n">
        <f aca="false">SUM(E65:I65)</f>
        <v>2880</v>
      </c>
      <c r="K65" s="67"/>
      <c r="L65" s="67"/>
      <c r="M65" s="67"/>
      <c r="N65" s="67"/>
      <c r="O65" s="67"/>
      <c r="P65" s="66"/>
    </row>
    <row r="66" customFormat="false" ht="14.25" hidden="false" customHeight="false" outlineLevel="0" collapsed="false">
      <c r="B66" s="71" t="s">
        <v>218</v>
      </c>
      <c r="C66" s="71"/>
      <c r="D66" s="71"/>
      <c r="E66" s="65" t="e">
        <f aca="false">SUM(E44:E64)*$C$82/2</f>
        <v>#VALUE!</v>
      </c>
      <c r="F66" s="65" t="n">
        <f aca="false">SUM(F44:F64)*$C$83</f>
        <v>0</v>
      </c>
      <c r="G66" s="65" t="n">
        <f aca="false">SUM(G44:G64)*$C$84</f>
        <v>0</v>
      </c>
      <c r="H66" s="65" t="n">
        <f aca="false">SUM(H44:H64)</f>
        <v>0</v>
      </c>
      <c r="I66" s="65" t="n">
        <f aca="false">SUM(I44:I64)</f>
        <v>0</v>
      </c>
      <c r="J66" s="73" t="e">
        <f aca="false">SUM(E66:I66)</f>
        <v>#VALUE!</v>
      </c>
      <c r="K66" s="67"/>
      <c r="L66" s="67"/>
      <c r="M66" s="67"/>
      <c r="N66" s="67"/>
      <c r="O66" s="67"/>
      <c r="P66" s="66"/>
    </row>
    <row r="67" customFormat="false" ht="14.25" hidden="false" customHeight="true" outlineLevel="0" collapsed="false">
      <c r="B67" s="68" t="s">
        <v>219</v>
      </c>
      <c r="C67" s="68" t="s">
        <v>38</v>
      </c>
      <c r="D67" s="71" t="s">
        <v>39</v>
      </c>
      <c r="E67" s="65" t="n">
        <v>100</v>
      </c>
      <c r="F67" s="65" t="n">
        <v>120</v>
      </c>
      <c r="G67" s="65" t="n">
        <v>100</v>
      </c>
      <c r="H67" s="65"/>
      <c r="I67" s="65"/>
      <c r="J67" s="73" t="n">
        <f aca="false">SUM(E67:I67)</f>
        <v>320</v>
      </c>
      <c r="K67" s="67"/>
      <c r="L67" s="67"/>
      <c r="M67" s="67"/>
      <c r="N67" s="67"/>
      <c r="O67" s="67"/>
      <c r="P67" s="66"/>
    </row>
    <row r="68" customFormat="false" ht="14.25" hidden="false" customHeight="false" outlineLevel="0" collapsed="false">
      <c r="B68" s="68"/>
      <c r="C68" s="68"/>
      <c r="D68" s="71" t="s">
        <v>40</v>
      </c>
      <c r="E68" s="65" t="n">
        <v>100</v>
      </c>
      <c r="F68" s="65" t="n">
        <v>120</v>
      </c>
      <c r="G68" s="65" t="n">
        <v>100</v>
      </c>
      <c r="H68" s="65"/>
      <c r="I68" s="65"/>
      <c r="J68" s="73" t="n">
        <f aca="false">SUM(E68:I68)</f>
        <v>320</v>
      </c>
      <c r="K68" s="67"/>
      <c r="L68" s="67"/>
      <c r="M68" s="67"/>
      <c r="N68" s="67"/>
      <c r="O68" s="67"/>
      <c r="P68" s="66"/>
    </row>
    <row r="69" customFormat="false" ht="14.25" hidden="false" customHeight="false" outlineLevel="0" collapsed="false">
      <c r="B69" s="68"/>
      <c r="C69" s="68"/>
      <c r="D69" s="71" t="s">
        <v>41</v>
      </c>
      <c r="E69" s="65" t="n">
        <v>100</v>
      </c>
      <c r="F69" s="65" t="n">
        <v>120</v>
      </c>
      <c r="G69" s="65" t="n">
        <v>100</v>
      </c>
      <c r="H69" s="65"/>
      <c r="I69" s="65"/>
      <c r="J69" s="73" t="n">
        <f aca="false">SUM(E69:I69)</f>
        <v>320</v>
      </c>
      <c r="K69" s="67"/>
      <c r="L69" s="67"/>
      <c r="M69" s="67"/>
      <c r="N69" s="67"/>
      <c r="O69" s="67"/>
      <c r="P69" s="66"/>
    </row>
    <row r="70" customFormat="false" ht="14.25" hidden="false" customHeight="true" outlineLevel="0" collapsed="false">
      <c r="B70" s="68"/>
      <c r="C70" s="68" t="s">
        <v>42</v>
      </c>
      <c r="D70" s="71" t="s">
        <v>43</v>
      </c>
      <c r="E70" s="65" t="n">
        <v>100</v>
      </c>
      <c r="F70" s="65" t="n">
        <v>120</v>
      </c>
      <c r="G70" s="65" t="n">
        <v>100</v>
      </c>
      <c r="H70" s="65"/>
      <c r="I70" s="65"/>
      <c r="J70" s="73" t="n">
        <f aca="false">SUM(E70:I70)</f>
        <v>320</v>
      </c>
      <c r="K70" s="67"/>
      <c r="L70" s="67"/>
      <c r="M70" s="67"/>
      <c r="N70" s="67"/>
      <c r="O70" s="67"/>
      <c r="P70" s="66"/>
    </row>
    <row r="71" customFormat="false" ht="14.25" hidden="false" customHeight="false" outlineLevel="0" collapsed="false">
      <c r="B71" s="68"/>
      <c r="C71" s="68"/>
      <c r="D71" s="71" t="s">
        <v>44</v>
      </c>
      <c r="E71" s="65" t="n">
        <v>100</v>
      </c>
      <c r="F71" s="65" t="n">
        <v>120</v>
      </c>
      <c r="G71" s="65" t="n">
        <v>100</v>
      </c>
      <c r="H71" s="65"/>
      <c r="I71" s="65"/>
      <c r="J71" s="73" t="n">
        <f aca="false">SUM(E71:I71)</f>
        <v>320</v>
      </c>
      <c r="K71" s="67"/>
      <c r="L71" s="67"/>
      <c r="M71" s="67"/>
      <c r="N71" s="67"/>
      <c r="O71" s="67"/>
      <c r="P71" s="66"/>
    </row>
    <row r="72" customFormat="false" ht="14.25" hidden="false" customHeight="false" outlineLevel="0" collapsed="false">
      <c r="B72" s="68"/>
      <c r="C72" s="68"/>
      <c r="D72" s="71" t="s">
        <v>45</v>
      </c>
      <c r="E72" s="65" t="n">
        <v>100</v>
      </c>
      <c r="F72" s="65" t="n">
        <v>120</v>
      </c>
      <c r="G72" s="65" t="n">
        <v>100</v>
      </c>
      <c r="H72" s="65"/>
      <c r="I72" s="65"/>
      <c r="J72" s="73" t="n">
        <f aca="false">SUM(E72:I72)</f>
        <v>320</v>
      </c>
      <c r="K72" s="67"/>
      <c r="L72" s="67"/>
      <c r="M72" s="67"/>
      <c r="N72" s="67"/>
      <c r="O72" s="67"/>
      <c r="P72" s="66"/>
    </row>
    <row r="73" customFormat="false" ht="14.25" hidden="false" customHeight="true" outlineLevel="0" collapsed="false">
      <c r="B73" s="68"/>
      <c r="C73" s="68" t="s">
        <v>46</v>
      </c>
      <c r="D73" s="71" t="s">
        <v>47</v>
      </c>
      <c r="E73" s="65" t="n">
        <v>100</v>
      </c>
      <c r="F73" s="65" t="n">
        <v>120</v>
      </c>
      <c r="G73" s="65" t="n">
        <v>100</v>
      </c>
      <c r="H73" s="65"/>
      <c r="I73" s="65"/>
      <c r="J73" s="73" t="n">
        <f aca="false">SUM(E73:I73)</f>
        <v>320</v>
      </c>
      <c r="K73" s="67"/>
      <c r="L73" s="67"/>
      <c r="M73" s="67"/>
      <c r="N73" s="67"/>
      <c r="O73" s="67"/>
      <c r="P73" s="66"/>
    </row>
    <row r="74" customFormat="false" ht="14.25" hidden="false" customHeight="false" outlineLevel="0" collapsed="false">
      <c r="B74" s="68"/>
      <c r="C74" s="68"/>
      <c r="D74" s="71" t="s">
        <v>48</v>
      </c>
      <c r="E74" s="65" t="n">
        <v>100</v>
      </c>
      <c r="F74" s="65" t="n">
        <v>120</v>
      </c>
      <c r="G74" s="65" t="n">
        <v>100</v>
      </c>
      <c r="H74" s="65"/>
      <c r="I74" s="65"/>
      <c r="J74" s="73" t="n">
        <f aca="false">SUM(E74:I74)</f>
        <v>320</v>
      </c>
      <c r="K74" s="67"/>
      <c r="L74" s="67"/>
      <c r="M74" s="67"/>
      <c r="N74" s="67"/>
      <c r="O74" s="67"/>
      <c r="P74" s="66"/>
    </row>
    <row r="75" customFormat="false" ht="14.25" hidden="false" customHeight="false" outlineLevel="0" collapsed="false">
      <c r="B75" s="68"/>
      <c r="C75" s="68"/>
      <c r="D75" s="71" t="s">
        <v>49</v>
      </c>
      <c r="E75" s="65" t="n">
        <v>100</v>
      </c>
      <c r="F75" s="65" t="n">
        <v>120</v>
      </c>
      <c r="G75" s="65" t="n">
        <v>100</v>
      </c>
      <c r="H75" s="65"/>
      <c r="I75" s="65"/>
      <c r="J75" s="73" t="n">
        <f aca="false">SUM(E75:I75)</f>
        <v>320</v>
      </c>
      <c r="K75" s="67"/>
      <c r="L75" s="67"/>
      <c r="M75" s="67"/>
      <c r="N75" s="67"/>
      <c r="O75" s="67"/>
      <c r="P75" s="66"/>
    </row>
    <row r="76" customFormat="false" ht="16.4" hidden="false" customHeight="false" outlineLevel="0" collapsed="false">
      <c r="B76" s="68"/>
      <c r="C76" s="77" t="s">
        <v>213</v>
      </c>
      <c r="D76" s="71"/>
      <c r="E76" s="65"/>
      <c r="F76" s="65"/>
      <c r="G76" s="65"/>
      <c r="H76" s="65"/>
      <c r="I76" s="65"/>
      <c r="J76" s="73" t="n">
        <f aca="false">SUM(E76:I76)</f>
        <v>0</v>
      </c>
      <c r="K76" s="67"/>
      <c r="L76" s="67"/>
      <c r="M76" s="67"/>
      <c r="N76" s="67"/>
      <c r="O76" s="67"/>
      <c r="P76" s="66"/>
    </row>
    <row r="77" customFormat="false" ht="14.25" hidden="false" customHeight="false" outlineLevel="0" collapsed="false">
      <c r="B77" s="68"/>
      <c r="C77" s="78"/>
      <c r="D77" s="71"/>
      <c r="E77" s="65"/>
      <c r="F77" s="65"/>
      <c r="G77" s="65"/>
      <c r="H77" s="65"/>
      <c r="I77" s="65"/>
      <c r="J77" s="73" t="n">
        <f aca="false">SUM(E77:I77)</f>
        <v>0</v>
      </c>
      <c r="K77" s="67"/>
      <c r="L77" s="67"/>
      <c r="M77" s="67"/>
      <c r="N77" s="67"/>
      <c r="O77" s="67"/>
      <c r="P77" s="66"/>
    </row>
    <row r="78" customFormat="false" ht="14.25" hidden="false" customHeight="false" outlineLevel="0" collapsed="false">
      <c r="B78" s="68"/>
      <c r="C78" s="79"/>
      <c r="D78" s="71"/>
      <c r="E78" s="65"/>
      <c r="F78" s="65"/>
      <c r="G78" s="65"/>
      <c r="H78" s="65"/>
      <c r="I78" s="65"/>
      <c r="J78" s="73" t="n">
        <f aca="false">SUM(E78:I78)</f>
        <v>0</v>
      </c>
      <c r="K78" s="67"/>
      <c r="L78" s="67"/>
      <c r="M78" s="67"/>
      <c r="N78" s="67"/>
      <c r="O78" s="67"/>
      <c r="P78" s="66"/>
    </row>
    <row r="79" customFormat="false" ht="16.4" hidden="false" customHeight="false" outlineLevel="0" collapsed="false">
      <c r="B79" s="68"/>
      <c r="C79" s="77" t="s">
        <v>213</v>
      </c>
      <c r="D79" s="71"/>
      <c r="E79" s="65"/>
      <c r="F79" s="65"/>
      <c r="G79" s="65"/>
      <c r="H79" s="65"/>
      <c r="I79" s="65"/>
      <c r="J79" s="73" t="n">
        <f aca="false">SUM(E79:I79)</f>
        <v>0</v>
      </c>
      <c r="K79" s="67"/>
      <c r="L79" s="67"/>
      <c r="M79" s="67"/>
      <c r="N79" s="67"/>
      <c r="O79" s="67"/>
      <c r="P79" s="66"/>
    </row>
    <row r="80" customFormat="false" ht="14.25" hidden="false" customHeight="false" outlineLevel="0" collapsed="false">
      <c r="B80" s="68"/>
      <c r="C80" s="78"/>
      <c r="D80" s="71"/>
      <c r="E80" s="65"/>
      <c r="F80" s="65"/>
      <c r="G80" s="65"/>
      <c r="H80" s="65"/>
      <c r="I80" s="65"/>
      <c r="J80" s="73" t="n">
        <f aca="false">SUM(E80:I80)</f>
        <v>0</v>
      </c>
      <c r="K80" s="67"/>
      <c r="L80" s="67"/>
      <c r="M80" s="67"/>
      <c r="N80" s="67"/>
      <c r="O80" s="67"/>
      <c r="P80" s="66"/>
    </row>
    <row r="81" customFormat="false" ht="14.25" hidden="false" customHeight="false" outlineLevel="0" collapsed="false">
      <c r="B81" s="68"/>
      <c r="C81" s="79"/>
      <c r="D81" s="71"/>
      <c r="E81" s="65"/>
      <c r="F81" s="65"/>
      <c r="G81" s="65"/>
      <c r="H81" s="65"/>
      <c r="I81" s="65"/>
      <c r="J81" s="73" t="n">
        <f aca="false">SUM(E81:I81)</f>
        <v>0</v>
      </c>
      <c r="K81" s="67"/>
      <c r="L81" s="67"/>
      <c r="M81" s="67"/>
      <c r="N81" s="67"/>
      <c r="O81" s="67"/>
      <c r="P81" s="66"/>
    </row>
    <row r="82" customFormat="false" ht="16.4" hidden="false" customHeight="false" outlineLevel="0" collapsed="false">
      <c r="B82" s="68"/>
      <c r="C82" s="77" t="s">
        <v>213</v>
      </c>
      <c r="D82" s="71"/>
      <c r="E82" s="65"/>
      <c r="F82" s="65"/>
      <c r="G82" s="65"/>
      <c r="H82" s="65"/>
      <c r="I82" s="65"/>
      <c r="J82" s="73" t="n">
        <f aca="false">SUM(E82:I82)</f>
        <v>0</v>
      </c>
      <c r="K82" s="67"/>
      <c r="L82" s="67"/>
      <c r="M82" s="67"/>
      <c r="N82" s="67"/>
      <c r="O82" s="67"/>
      <c r="P82" s="66"/>
    </row>
    <row r="83" customFormat="false" ht="14.25" hidden="false" customHeight="false" outlineLevel="0" collapsed="false">
      <c r="B83" s="68"/>
      <c r="C83" s="78"/>
      <c r="D83" s="71"/>
      <c r="E83" s="65"/>
      <c r="F83" s="65"/>
      <c r="G83" s="65"/>
      <c r="H83" s="65"/>
      <c r="I83" s="65"/>
      <c r="J83" s="73" t="n">
        <f aca="false">SUM(E83:I83)</f>
        <v>0</v>
      </c>
      <c r="K83" s="67"/>
      <c r="L83" s="67"/>
      <c r="M83" s="67"/>
      <c r="N83" s="67"/>
      <c r="O83" s="67"/>
      <c r="P83" s="66"/>
    </row>
    <row r="84" customFormat="false" ht="14.25" hidden="false" customHeight="false" outlineLevel="0" collapsed="false">
      <c r="B84" s="68"/>
      <c r="C84" s="79"/>
      <c r="D84" s="71"/>
      <c r="E84" s="65"/>
      <c r="F84" s="65"/>
      <c r="G84" s="65"/>
      <c r="H84" s="65"/>
      <c r="I84" s="65"/>
      <c r="J84" s="73" t="n">
        <f aca="false">SUM(E84:I84)</f>
        <v>0</v>
      </c>
      <c r="K84" s="67"/>
      <c r="L84" s="67"/>
      <c r="M84" s="67"/>
      <c r="N84" s="67"/>
      <c r="O84" s="67"/>
      <c r="P84" s="66"/>
    </row>
    <row r="85" customFormat="false" ht="16.4" hidden="false" customHeight="false" outlineLevel="0" collapsed="false">
      <c r="B85" s="68"/>
      <c r="C85" s="77" t="s">
        <v>213</v>
      </c>
      <c r="D85" s="71"/>
      <c r="E85" s="65"/>
      <c r="F85" s="65"/>
      <c r="G85" s="65"/>
      <c r="H85" s="65"/>
      <c r="I85" s="65"/>
      <c r="J85" s="73" t="n">
        <f aca="false">SUM(E85:I85)</f>
        <v>0</v>
      </c>
      <c r="K85" s="67"/>
      <c r="L85" s="67"/>
      <c r="M85" s="67"/>
      <c r="N85" s="67"/>
      <c r="O85" s="67"/>
      <c r="P85" s="66"/>
    </row>
    <row r="86" customFormat="false" ht="14.25" hidden="false" customHeight="false" outlineLevel="0" collapsed="false">
      <c r="B86" s="68"/>
      <c r="C86" s="78"/>
      <c r="D86" s="71"/>
      <c r="E86" s="65"/>
      <c r="F86" s="65"/>
      <c r="G86" s="65"/>
      <c r="H86" s="65"/>
      <c r="I86" s="65"/>
      <c r="J86" s="73" t="n">
        <f aca="false">SUM(E86:I86)</f>
        <v>0</v>
      </c>
      <c r="K86" s="67"/>
      <c r="L86" s="67"/>
      <c r="M86" s="67"/>
      <c r="N86" s="67"/>
      <c r="O86" s="67"/>
      <c r="P86" s="66"/>
    </row>
    <row r="87" customFormat="false" ht="14.25" hidden="false" customHeight="false" outlineLevel="0" collapsed="false">
      <c r="B87" s="68"/>
      <c r="C87" s="79"/>
      <c r="D87" s="71"/>
      <c r="E87" s="65"/>
      <c r="F87" s="65"/>
      <c r="G87" s="65"/>
      <c r="H87" s="65"/>
      <c r="I87" s="65"/>
      <c r="J87" s="73" t="n">
        <f aca="false">SUM(E87:I87)</f>
        <v>0</v>
      </c>
      <c r="K87" s="67"/>
      <c r="L87" s="67"/>
      <c r="M87" s="67"/>
      <c r="N87" s="67"/>
      <c r="O87" s="67"/>
      <c r="P87" s="66"/>
    </row>
    <row r="88" customFormat="false" ht="14.25" hidden="false" customHeight="false" outlineLevel="0" collapsed="false">
      <c r="B88" s="71" t="s">
        <v>220</v>
      </c>
      <c r="C88" s="71"/>
      <c r="D88" s="71"/>
      <c r="E88" s="65" t="n">
        <f aca="false">SUM(E67:E87)</f>
        <v>900</v>
      </c>
      <c r="F88" s="65" t="n">
        <f aca="false">SUM(F67:F87)</f>
        <v>1080</v>
      </c>
      <c r="G88" s="65" t="n">
        <f aca="false">SUM(G67:G87)</f>
        <v>900</v>
      </c>
      <c r="H88" s="65" t="n">
        <f aca="false">SUM(H67:H87)</f>
        <v>0</v>
      </c>
      <c r="I88" s="65" t="n">
        <f aca="false">SUM(I67:I87)</f>
        <v>0</v>
      </c>
      <c r="J88" s="73" t="n">
        <f aca="false">SUM(E88:I88)</f>
        <v>2880</v>
      </c>
      <c r="K88" s="67"/>
      <c r="L88" s="67"/>
      <c r="M88" s="67"/>
      <c r="N88" s="67"/>
      <c r="O88" s="67"/>
      <c r="P88" s="66"/>
    </row>
    <row r="89" customFormat="false" ht="14.25" hidden="false" customHeight="false" outlineLevel="0" collapsed="false">
      <c r="B89" s="71" t="s">
        <v>221</v>
      </c>
      <c r="C89" s="71"/>
      <c r="D89" s="71"/>
      <c r="E89" s="65" t="e">
        <f aca="false">SUM(E67:E87)*$C$82/2</f>
        <v>#VALUE!</v>
      </c>
      <c r="F89" s="65" t="n">
        <f aca="false">SUM(F67:F87)*$C$83</f>
        <v>0</v>
      </c>
      <c r="G89" s="65" t="n">
        <f aca="false">SUM(G67:G87)*$C$84</f>
        <v>0</v>
      </c>
      <c r="H89" s="65" t="n">
        <f aca="false">SUM(H67:H87)</f>
        <v>0</v>
      </c>
      <c r="I89" s="65" t="n">
        <f aca="false">SUM(I67:I87)</f>
        <v>0</v>
      </c>
      <c r="J89" s="73" t="e">
        <f aca="false">SUM(E89:I89)</f>
        <v>#VALUE!</v>
      </c>
      <c r="K89" s="67"/>
      <c r="L89" s="67"/>
      <c r="M89" s="67"/>
      <c r="N89" s="67"/>
      <c r="O89" s="67"/>
      <c r="P89" s="66"/>
    </row>
    <row r="90" customFormat="false" ht="14.25" hidden="false" customHeight="false" outlineLevel="0" collapsed="false">
      <c r="B90" s="70" t="s">
        <v>222</v>
      </c>
      <c r="C90" s="71"/>
      <c r="D90" s="71"/>
      <c r="E90" s="80" t="n">
        <f aca="false">E42+E65+E88</f>
        <v>2700</v>
      </c>
      <c r="F90" s="80" t="n">
        <f aca="false">F42+F65+F88</f>
        <v>3240</v>
      </c>
      <c r="G90" s="80" t="n">
        <f aca="false">G42+G65+G88</f>
        <v>2700</v>
      </c>
      <c r="H90" s="80" t="n">
        <f aca="false">H42+H65+H88</f>
        <v>0</v>
      </c>
      <c r="I90" s="80" t="n">
        <f aca="false">I42+I65+I88</f>
        <v>0</v>
      </c>
      <c r="J90" s="80" t="n">
        <f aca="false">J42+J65+J88</f>
        <v>8640</v>
      </c>
      <c r="K90" s="67"/>
      <c r="L90" s="67"/>
      <c r="M90" s="67"/>
      <c r="N90" s="67"/>
      <c r="O90" s="67"/>
      <c r="P90" s="66"/>
    </row>
    <row r="91" customFormat="false" ht="15" hidden="false" customHeight="false" outlineLevel="0" collapsed="false">
      <c r="B91" s="70" t="s">
        <v>223</v>
      </c>
      <c r="C91" s="70"/>
      <c r="D91" s="70"/>
      <c r="E91" s="80" t="e">
        <f aca="false">E43+E66+E89</f>
        <v>#VALUE!</v>
      </c>
      <c r="F91" s="80" t="n">
        <f aca="false">F43+F66+F89</f>
        <v>0</v>
      </c>
      <c r="G91" s="80" t="n">
        <f aca="false">G43+G66+G89</f>
        <v>0</v>
      </c>
      <c r="H91" s="80" t="n">
        <f aca="false">H43+H66+H89</f>
        <v>0</v>
      </c>
      <c r="I91" s="80" t="n">
        <f aca="false">I43+I66+I89</f>
        <v>0</v>
      </c>
      <c r="J91" s="81" t="e">
        <f aca="false">J43+J66+J89</f>
        <v>#VALUE!</v>
      </c>
      <c r="K91" s="67"/>
      <c r="L91" s="67"/>
      <c r="M91" s="67"/>
      <c r="N91" s="67"/>
      <c r="O91" s="67"/>
      <c r="P91" s="66"/>
    </row>
    <row r="92" customFormat="false" ht="14.25" hidden="false" customHeight="false" outlineLevel="0" collapsed="false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</row>
    <row r="93" customFormat="false" ht="16.4" hidden="false" customHeight="true" outlineLevel="0" collapsed="false">
      <c r="B93" s="82" t="s">
        <v>224</v>
      </c>
      <c r="C93" s="83" t="s">
        <v>225</v>
      </c>
      <c r="D93" s="83"/>
      <c r="E93" s="83"/>
      <c r="F93" s="83"/>
      <c r="G93" s="83"/>
      <c r="H93" s="83"/>
      <c r="I93" s="52"/>
      <c r="J93" s="52"/>
      <c r="K93" s="52"/>
      <c r="L93" s="52"/>
      <c r="M93" s="52"/>
      <c r="N93" s="52"/>
      <c r="O93" s="52"/>
    </row>
    <row r="94" customFormat="false" ht="14.25" hidden="false" customHeight="false" outlineLevel="0" collapsed="false">
      <c r="B94" s="84" t="s">
        <v>2</v>
      </c>
      <c r="C94" s="85" t="s">
        <v>4</v>
      </c>
      <c r="D94" s="85" t="s">
        <v>5</v>
      </c>
      <c r="E94" s="85" t="s">
        <v>6</v>
      </c>
      <c r="F94" s="85" t="s">
        <v>7</v>
      </c>
      <c r="G94" s="85" t="s">
        <v>8</v>
      </c>
      <c r="H94" s="86" t="s">
        <v>36</v>
      </c>
      <c r="I94" s="52"/>
      <c r="J94" s="52"/>
      <c r="K94" s="52"/>
      <c r="L94" s="52"/>
      <c r="M94" s="52"/>
      <c r="N94" s="52"/>
      <c r="O94" s="52"/>
    </row>
    <row r="95" customFormat="false" ht="14.25" hidden="false" customHeight="false" outlineLevel="0" collapsed="false">
      <c r="B95" s="87" t="s">
        <v>167</v>
      </c>
      <c r="C95" s="88" t="n">
        <f aca="false">D5*$I5</f>
        <v>5</v>
      </c>
      <c r="D95" s="88" t="n">
        <f aca="false">E5*$I5</f>
        <v>0</v>
      </c>
      <c r="E95" s="88" t="n">
        <f aca="false">F5*$I5</f>
        <v>0</v>
      </c>
      <c r="F95" s="88" t="n">
        <f aca="false">G5*$I5</f>
        <v>5</v>
      </c>
      <c r="G95" s="88" t="n">
        <f aca="false">H5*$I5</f>
        <v>0</v>
      </c>
      <c r="H95" s="89" t="n">
        <f aca="false">SUM(C95:G95)</f>
        <v>10</v>
      </c>
      <c r="I95" s="52"/>
      <c r="J95" s="52"/>
      <c r="K95" s="52"/>
      <c r="L95" s="52"/>
      <c r="M95" s="52"/>
      <c r="N95" s="52"/>
      <c r="O95" s="52"/>
    </row>
    <row r="96" customFormat="false" ht="14.25" hidden="false" customHeight="false" outlineLevel="0" collapsed="false">
      <c r="B96" s="87" t="s">
        <v>168</v>
      </c>
      <c r="C96" s="88" t="n">
        <f aca="false">D6*$I6</f>
        <v>8</v>
      </c>
      <c r="D96" s="88" t="n">
        <f aca="false">E6*$I6</f>
        <v>0</v>
      </c>
      <c r="E96" s="88" t="n">
        <f aca="false">F6*$I6</f>
        <v>0</v>
      </c>
      <c r="F96" s="88" t="n">
        <f aca="false">G6*$I6</f>
        <v>8</v>
      </c>
      <c r="G96" s="88" t="n">
        <f aca="false">H6*$I6</f>
        <v>0</v>
      </c>
      <c r="H96" s="89" t="n">
        <f aca="false">SUM(C96:G96)</f>
        <v>16</v>
      </c>
      <c r="I96" s="52"/>
      <c r="J96" s="52"/>
      <c r="K96" s="52"/>
      <c r="L96" s="52"/>
      <c r="M96" s="52"/>
      <c r="N96" s="52"/>
      <c r="O96" s="52"/>
    </row>
    <row r="97" customFormat="false" ht="14.25" hidden="false" customHeight="false" outlineLevel="0" collapsed="false">
      <c r="B97" s="87" t="s">
        <v>169</v>
      </c>
      <c r="C97" s="88" t="n">
        <f aca="false">D7*$I7</f>
        <v>9</v>
      </c>
      <c r="D97" s="88" t="n">
        <f aca="false">E7*$I7</f>
        <v>0</v>
      </c>
      <c r="E97" s="88" t="n">
        <f aca="false">F7*$I7</f>
        <v>0</v>
      </c>
      <c r="F97" s="88" t="n">
        <f aca="false">G7*$I7</f>
        <v>9</v>
      </c>
      <c r="G97" s="88" t="n">
        <f aca="false">H7*$I7</f>
        <v>0</v>
      </c>
      <c r="H97" s="89" t="n">
        <f aca="false">SUM(C97:G97)</f>
        <v>18</v>
      </c>
      <c r="I97" s="52"/>
      <c r="J97" s="52"/>
      <c r="K97" s="52"/>
      <c r="L97" s="52"/>
      <c r="M97" s="52"/>
      <c r="N97" s="52"/>
      <c r="O97" s="52"/>
    </row>
    <row r="98" customFormat="false" ht="14.25" hidden="false" customHeight="false" outlineLevel="0" collapsed="false">
      <c r="B98" s="87" t="s">
        <v>170</v>
      </c>
      <c r="C98" s="88" t="n">
        <f aca="false">D8*$I8</f>
        <v>25</v>
      </c>
      <c r="D98" s="88" t="n">
        <f aca="false">E8*$I8</f>
        <v>0</v>
      </c>
      <c r="E98" s="88" t="n">
        <f aca="false">F8*$I8</f>
        <v>0</v>
      </c>
      <c r="F98" s="88" t="n">
        <f aca="false">G8*$I8</f>
        <v>25</v>
      </c>
      <c r="G98" s="88" t="n">
        <f aca="false">H8*$I8</f>
        <v>0</v>
      </c>
      <c r="H98" s="89" t="n">
        <f aca="false">SUM(C98:G98)</f>
        <v>50</v>
      </c>
      <c r="I98" s="52"/>
      <c r="J98" s="52"/>
      <c r="K98" s="52"/>
      <c r="L98" s="52"/>
      <c r="M98" s="52"/>
      <c r="N98" s="52"/>
      <c r="O98" s="52"/>
    </row>
    <row r="99" customFormat="false" ht="14.25" hidden="false" customHeight="false" outlineLevel="0" collapsed="false">
      <c r="B99" s="87" t="s">
        <v>171</v>
      </c>
      <c r="C99" s="88" t="n">
        <f aca="false">D9*$I9</f>
        <v>10</v>
      </c>
      <c r="D99" s="88" t="n">
        <f aca="false">E9*$I9</f>
        <v>0</v>
      </c>
      <c r="E99" s="88" t="n">
        <f aca="false">F9*$I9</f>
        <v>0</v>
      </c>
      <c r="F99" s="88" t="n">
        <f aca="false">G9*$I9</f>
        <v>10</v>
      </c>
      <c r="G99" s="88" t="n">
        <f aca="false">H9*$I9</f>
        <v>0</v>
      </c>
      <c r="H99" s="89" t="n">
        <f aca="false">SUM(C99:G99)</f>
        <v>20</v>
      </c>
      <c r="I99" s="52"/>
      <c r="J99" s="52"/>
      <c r="K99" s="52"/>
      <c r="L99" s="52"/>
      <c r="M99" s="52"/>
      <c r="N99" s="52"/>
      <c r="O99" s="52"/>
    </row>
    <row r="100" customFormat="false" ht="14.25" hidden="false" customHeight="false" outlineLevel="0" collapsed="false">
      <c r="B100" s="87" t="s">
        <v>172</v>
      </c>
      <c r="C100" s="88" t="n">
        <f aca="false">D10*$I10</f>
        <v>50</v>
      </c>
      <c r="D100" s="88" t="n">
        <f aca="false">E10*$I10</f>
        <v>0</v>
      </c>
      <c r="E100" s="88" t="n">
        <f aca="false">F10*$I10</f>
        <v>0</v>
      </c>
      <c r="F100" s="88" t="n">
        <f aca="false">G10*$I10</f>
        <v>50</v>
      </c>
      <c r="G100" s="88" t="n">
        <f aca="false">H10*$I10</f>
        <v>0</v>
      </c>
      <c r="H100" s="89" t="n">
        <f aca="false">SUM(C100:G100)</f>
        <v>100</v>
      </c>
      <c r="I100" s="52"/>
      <c r="J100" s="52"/>
      <c r="K100" s="52"/>
      <c r="L100" s="52"/>
      <c r="M100" s="52"/>
      <c r="N100" s="52"/>
      <c r="O100" s="52"/>
    </row>
    <row r="101" customFormat="false" ht="16.4" hidden="false" customHeight="false" outlineLevel="0" collapsed="false">
      <c r="B101" s="87" t="s">
        <v>200</v>
      </c>
      <c r="C101" s="88" t="n">
        <f aca="false">D11*$I11</f>
        <v>0</v>
      </c>
      <c r="D101" s="88" t="n">
        <f aca="false">E11*$I11</f>
        <v>0</v>
      </c>
      <c r="E101" s="88" t="n">
        <f aca="false">F11*$I11</f>
        <v>0</v>
      </c>
      <c r="F101" s="88" t="n">
        <f aca="false">G11*$I11</f>
        <v>500</v>
      </c>
      <c r="G101" s="88" t="n">
        <f aca="false">H11*$I11</f>
        <v>0</v>
      </c>
      <c r="H101" s="89" t="n">
        <f aca="false">SUM(C101:G101)</f>
        <v>500</v>
      </c>
      <c r="I101" s="52"/>
      <c r="J101" s="52"/>
      <c r="K101" s="52"/>
      <c r="L101" s="52"/>
      <c r="M101" s="52"/>
      <c r="N101" s="52"/>
      <c r="O101" s="52"/>
    </row>
    <row r="102" customFormat="false" ht="14.25" hidden="false" customHeight="false" outlineLevel="0" collapsed="false">
      <c r="B102" s="87" t="s">
        <v>24</v>
      </c>
      <c r="C102" s="90" t="n">
        <f aca="false">ROUNDDOWN(SUM(C95:C101),10)</f>
        <v>107</v>
      </c>
      <c r="D102" s="90" t="n">
        <f aca="false">SUM(D95:D101)</f>
        <v>0</v>
      </c>
      <c r="E102" s="90" t="n">
        <f aca="false">SUM(E95:E101)</f>
        <v>0</v>
      </c>
      <c r="F102" s="90" t="n">
        <f aca="false">SUM(F95:F101)</f>
        <v>607</v>
      </c>
      <c r="G102" s="90" t="n">
        <f aca="false">SUM(G95:G101)</f>
        <v>0</v>
      </c>
      <c r="H102" s="91" t="n">
        <f aca="false">SUM(H95:H101)</f>
        <v>714</v>
      </c>
      <c r="I102" s="52"/>
      <c r="J102" s="52"/>
      <c r="K102" s="52"/>
      <c r="L102" s="52"/>
      <c r="M102" s="52"/>
      <c r="N102" s="52"/>
      <c r="O102" s="52"/>
    </row>
    <row r="103" customFormat="false" ht="14.25" hidden="false" customHeight="false" outlineLevel="0" collapsed="false">
      <c r="B103" s="87" t="s">
        <v>25</v>
      </c>
      <c r="C103" s="92" t="n">
        <f aca="false">C102</f>
        <v>107</v>
      </c>
      <c r="D103" s="92" t="n">
        <f aca="false">D102</f>
        <v>0</v>
      </c>
      <c r="E103" s="92" t="n">
        <f aca="false">E102</f>
        <v>0</v>
      </c>
      <c r="F103" s="92" t="n">
        <f aca="false">F102</f>
        <v>607</v>
      </c>
      <c r="G103" s="92" t="n">
        <f aca="false">G102</f>
        <v>0</v>
      </c>
      <c r="H103" s="93"/>
      <c r="I103" s="52"/>
      <c r="J103" s="52"/>
      <c r="K103" s="52"/>
      <c r="L103" s="52"/>
      <c r="M103" s="52"/>
      <c r="N103" s="52"/>
      <c r="O103" s="52"/>
    </row>
    <row r="104" customFormat="false" ht="14.25" hidden="false" customHeight="false" outlineLevel="0" collapsed="false">
      <c r="B104" s="94"/>
      <c r="C104" s="95"/>
      <c r="D104" s="95"/>
      <c r="E104" s="95"/>
      <c r="F104" s="95"/>
      <c r="G104" s="95"/>
      <c r="H104" s="96"/>
      <c r="I104" s="52"/>
      <c r="J104" s="52"/>
      <c r="K104" s="52"/>
      <c r="L104" s="52"/>
      <c r="M104" s="52"/>
      <c r="N104" s="52"/>
      <c r="O104" s="52"/>
    </row>
    <row r="105" customFormat="false" ht="14.25" hidden="false" customHeight="false" outlineLevel="0" collapsed="false">
      <c r="B105" s="87" t="s">
        <v>201</v>
      </c>
      <c r="C105" s="54" t="s">
        <v>203</v>
      </c>
      <c r="D105" s="54" t="s">
        <v>204</v>
      </c>
      <c r="E105" s="54" t="s">
        <v>205</v>
      </c>
      <c r="F105" s="95"/>
      <c r="G105" s="95"/>
      <c r="H105" s="96"/>
      <c r="I105" s="52"/>
      <c r="J105" s="52"/>
      <c r="K105" s="52"/>
      <c r="L105" s="52"/>
      <c r="M105" s="52"/>
      <c r="N105" s="52"/>
      <c r="O105" s="52"/>
    </row>
    <row r="106" customFormat="false" ht="14.25" hidden="false" customHeight="false" outlineLevel="0" collapsed="false">
      <c r="B106" s="97" t="s">
        <v>226</v>
      </c>
      <c r="C106" s="98" t="n">
        <f aca="false">_xlfn.FLOOR.MATH($C103/2,10)</f>
        <v>50</v>
      </c>
      <c r="D106" s="98" t="n">
        <f aca="false">_xlfn.FLOOR.MATH($C103,10)</f>
        <v>100</v>
      </c>
      <c r="E106" s="98" t="n">
        <f aca="false">_xlfn.FLOOR.MATH($C103,10)*5</f>
        <v>500</v>
      </c>
      <c r="F106" s="99"/>
      <c r="G106" s="99"/>
      <c r="H106" s="100"/>
      <c r="I106" s="52"/>
      <c r="J106" s="52"/>
      <c r="K106" s="52"/>
      <c r="L106" s="52"/>
      <c r="M106" s="52"/>
      <c r="N106" s="52"/>
      <c r="O106" s="52"/>
    </row>
    <row r="107" customFormat="false" ht="14.25" hidden="false" customHeight="false" outlineLevel="0" collapsed="false">
      <c r="B107" s="101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</row>
    <row r="108" customFormat="false" ht="14.25" hidden="false" customHeight="false" outlineLevel="0" collapsed="false">
      <c r="B108" s="102" t="s">
        <v>206</v>
      </c>
      <c r="C108" s="103" t="s">
        <v>207</v>
      </c>
      <c r="D108" s="103"/>
      <c r="E108" s="103"/>
      <c r="F108" s="103"/>
      <c r="G108" s="103"/>
      <c r="H108" s="103"/>
      <c r="I108" s="52"/>
      <c r="J108" s="52"/>
      <c r="K108" s="52"/>
      <c r="L108" s="52"/>
      <c r="M108" s="52"/>
      <c r="N108" s="52"/>
      <c r="O108" s="52"/>
    </row>
    <row r="109" customFormat="false" ht="14.25" hidden="false" customHeight="false" outlineLevel="0" collapsed="false">
      <c r="B109" s="87" t="s">
        <v>31</v>
      </c>
      <c r="C109" s="104" t="s">
        <v>203</v>
      </c>
      <c r="D109" s="104" t="s">
        <v>204</v>
      </c>
      <c r="E109" s="104" t="s">
        <v>205</v>
      </c>
      <c r="F109" s="104" t="s">
        <v>8</v>
      </c>
      <c r="G109" s="104" t="s">
        <v>8</v>
      </c>
      <c r="H109" s="105" t="s">
        <v>36</v>
      </c>
      <c r="I109" s="52"/>
      <c r="J109" s="52"/>
      <c r="K109" s="52"/>
      <c r="L109" s="52"/>
      <c r="M109" s="52"/>
      <c r="N109" s="52"/>
      <c r="O109" s="52"/>
    </row>
    <row r="110" customFormat="false" ht="14.25" hidden="false" customHeight="false" outlineLevel="0" collapsed="false">
      <c r="B110" s="87" t="s">
        <v>214</v>
      </c>
      <c r="C110" s="106" t="n">
        <f aca="false">E42</f>
        <v>900</v>
      </c>
      <c r="D110" s="106" t="n">
        <f aca="false">F42</f>
        <v>1080</v>
      </c>
      <c r="E110" s="106" t="n">
        <f aca="false">G42</f>
        <v>900</v>
      </c>
      <c r="F110" s="106" t="n">
        <f aca="false">H42</f>
        <v>0</v>
      </c>
      <c r="G110" s="106" t="n">
        <f aca="false">I42</f>
        <v>0</v>
      </c>
      <c r="H110" s="107" t="n">
        <f aca="false">J42</f>
        <v>2880</v>
      </c>
      <c r="I110" s="52"/>
      <c r="J110" s="52"/>
      <c r="K110" s="52"/>
      <c r="L110" s="52"/>
      <c r="M110" s="52"/>
      <c r="N110" s="52"/>
      <c r="O110" s="52"/>
    </row>
    <row r="111" customFormat="false" ht="14.25" hidden="false" customHeight="false" outlineLevel="0" collapsed="false">
      <c r="B111" s="87" t="s">
        <v>215</v>
      </c>
      <c r="C111" s="106" t="e">
        <f aca="false">E43</f>
        <v>#VALUE!</v>
      </c>
      <c r="D111" s="106" t="n">
        <f aca="false">F43</f>
        <v>0</v>
      </c>
      <c r="E111" s="106" t="n">
        <f aca="false">G43</f>
        <v>0</v>
      </c>
      <c r="F111" s="106" t="n">
        <f aca="false">H43</f>
        <v>0</v>
      </c>
      <c r="G111" s="106" t="n">
        <f aca="false">I43</f>
        <v>0</v>
      </c>
      <c r="H111" s="107" t="e">
        <f aca="false">J43</f>
        <v>#VALUE!</v>
      </c>
      <c r="I111" s="52"/>
      <c r="J111" s="52"/>
      <c r="K111" s="52"/>
      <c r="L111" s="52"/>
      <c r="M111" s="52"/>
      <c r="N111" s="52"/>
      <c r="O111" s="52"/>
    </row>
    <row r="112" customFormat="false" ht="14.25" hidden="false" customHeight="false" outlineLevel="0" collapsed="false">
      <c r="B112" s="87" t="s">
        <v>217</v>
      </c>
      <c r="C112" s="106" t="n">
        <f aca="false">E65</f>
        <v>900</v>
      </c>
      <c r="D112" s="106" t="n">
        <f aca="false">F65</f>
        <v>1080</v>
      </c>
      <c r="E112" s="106" t="n">
        <f aca="false">G65</f>
        <v>900</v>
      </c>
      <c r="F112" s="106" t="n">
        <f aca="false">H65</f>
        <v>0</v>
      </c>
      <c r="G112" s="106" t="n">
        <f aca="false">I65</f>
        <v>0</v>
      </c>
      <c r="H112" s="107" t="n">
        <f aca="false">SUM(C112:G112)</f>
        <v>2880</v>
      </c>
      <c r="I112" s="52"/>
      <c r="J112" s="52"/>
      <c r="K112" s="52"/>
      <c r="L112" s="52"/>
      <c r="M112" s="52"/>
      <c r="N112" s="52"/>
      <c r="O112" s="52"/>
    </row>
    <row r="113" customFormat="false" ht="14.25" hidden="false" customHeight="false" outlineLevel="0" collapsed="false">
      <c r="B113" s="87" t="s">
        <v>218</v>
      </c>
      <c r="C113" s="106" t="e">
        <f aca="false">E66</f>
        <v>#VALUE!</v>
      </c>
      <c r="D113" s="106" t="n">
        <f aca="false">F66</f>
        <v>0</v>
      </c>
      <c r="E113" s="106" t="n">
        <f aca="false">G66</f>
        <v>0</v>
      </c>
      <c r="F113" s="106" t="n">
        <f aca="false">H66</f>
        <v>0</v>
      </c>
      <c r="G113" s="106" t="n">
        <f aca="false">I66</f>
        <v>0</v>
      </c>
      <c r="H113" s="107" t="e">
        <f aca="false">SUM(C113:G113)</f>
        <v>#VALUE!</v>
      </c>
      <c r="I113" s="52"/>
      <c r="J113" s="52"/>
      <c r="K113" s="52"/>
      <c r="L113" s="52"/>
      <c r="M113" s="52"/>
      <c r="N113" s="52"/>
      <c r="O113" s="52"/>
    </row>
    <row r="114" customFormat="false" ht="14.25" hidden="false" customHeight="false" outlineLevel="0" collapsed="false">
      <c r="B114" s="87" t="s">
        <v>220</v>
      </c>
      <c r="C114" s="106" t="n">
        <f aca="false">E88</f>
        <v>900</v>
      </c>
      <c r="D114" s="106" t="n">
        <f aca="false">F88</f>
        <v>1080</v>
      </c>
      <c r="E114" s="106" t="n">
        <f aca="false">G88</f>
        <v>900</v>
      </c>
      <c r="F114" s="106" t="n">
        <f aca="false">H88</f>
        <v>0</v>
      </c>
      <c r="G114" s="106" t="n">
        <f aca="false">I88</f>
        <v>0</v>
      </c>
      <c r="H114" s="107" t="n">
        <f aca="false">SUM(C114:G114)</f>
        <v>2880</v>
      </c>
      <c r="I114" s="52"/>
      <c r="J114" s="52"/>
      <c r="K114" s="52"/>
      <c r="L114" s="52"/>
      <c r="M114" s="52"/>
      <c r="N114" s="52"/>
      <c r="O114" s="52"/>
    </row>
    <row r="115" customFormat="false" ht="14.25" hidden="false" customHeight="false" outlineLevel="0" collapsed="false">
      <c r="B115" s="87" t="s">
        <v>221</v>
      </c>
      <c r="C115" s="106" t="e">
        <f aca="false">E89</f>
        <v>#VALUE!</v>
      </c>
      <c r="D115" s="106" t="n">
        <f aca="false">F89</f>
        <v>0</v>
      </c>
      <c r="E115" s="106" t="n">
        <f aca="false">G89</f>
        <v>0</v>
      </c>
      <c r="F115" s="106" t="n">
        <f aca="false">H89</f>
        <v>0</v>
      </c>
      <c r="G115" s="106" t="n">
        <f aca="false">I89</f>
        <v>0</v>
      </c>
      <c r="H115" s="107" t="e">
        <f aca="false">SUM(C115:G115)</f>
        <v>#VALUE!</v>
      </c>
      <c r="I115" s="52"/>
      <c r="J115" s="52"/>
      <c r="K115" s="52"/>
      <c r="L115" s="52"/>
      <c r="M115" s="52"/>
      <c r="N115" s="52"/>
      <c r="O115" s="52"/>
    </row>
    <row r="116" customFormat="false" ht="15" hidden="false" customHeight="false" outlineLevel="0" collapsed="false">
      <c r="B116" s="84" t="s">
        <v>222</v>
      </c>
      <c r="C116" s="108" t="n">
        <f aca="false">C110+C112+C114</f>
        <v>2700</v>
      </c>
      <c r="D116" s="108" t="n">
        <f aca="false">D110+D112+D114</f>
        <v>3240</v>
      </c>
      <c r="E116" s="108" t="n">
        <f aca="false">E110+E112+E114</f>
        <v>2700</v>
      </c>
      <c r="F116" s="108" t="n">
        <f aca="false">F110+F112+F114</f>
        <v>0</v>
      </c>
      <c r="G116" s="108" t="n">
        <f aca="false">G110+G112+G114</f>
        <v>0</v>
      </c>
      <c r="H116" s="109" t="n">
        <f aca="false">H110+H112+H114</f>
        <v>8640</v>
      </c>
      <c r="I116" s="52"/>
      <c r="J116" s="52"/>
      <c r="K116" s="52"/>
      <c r="L116" s="52"/>
      <c r="M116" s="52"/>
      <c r="N116" s="52"/>
      <c r="O116" s="52"/>
    </row>
    <row r="117" customFormat="false" ht="15" hidden="false" customHeight="false" outlineLevel="0" collapsed="false">
      <c r="B117" s="110" t="s">
        <v>223</v>
      </c>
      <c r="C117" s="111" t="e">
        <f aca="false">C111+C113+C115</f>
        <v>#VALUE!</v>
      </c>
      <c r="D117" s="111" t="n">
        <f aca="false">D111+D113+D115</f>
        <v>0</v>
      </c>
      <c r="E117" s="111" t="n">
        <f aca="false">E111+E113+E115</f>
        <v>0</v>
      </c>
      <c r="F117" s="111" t="n">
        <f aca="false">F111+F113+F115</f>
        <v>0</v>
      </c>
      <c r="G117" s="111" t="n">
        <f aca="false">G111+G113+G115</f>
        <v>0</v>
      </c>
      <c r="H117" s="112" t="e">
        <f aca="false">H111+H113+H115</f>
        <v>#VALUE!</v>
      </c>
      <c r="I117" s="52"/>
      <c r="J117" s="52"/>
      <c r="K117" s="52"/>
      <c r="L117" s="52"/>
      <c r="M117" s="52"/>
      <c r="N117" s="52"/>
      <c r="O117" s="52"/>
    </row>
    <row r="118" customFormat="false" ht="14.25" hidden="false" customHeight="false" outlineLevel="0" collapsed="false">
      <c r="B118" s="113" t="s">
        <v>227</v>
      </c>
      <c r="C118" s="114" t="s">
        <v>191</v>
      </c>
      <c r="I118" s="115"/>
    </row>
    <row r="119" customFormat="false" ht="14.25" hidden="false" customHeight="false" outlineLevel="0" collapsed="false">
      <c r="B119" s="113" t="s">
        <v>228</v>
      </c>
      <c r="C119" s="114" t="s">
        <v>191</v>
      </c>
      <c r="I119" s="115"/>
    </row>
    <row r="120" customFormat="false" ht="14.25" hidden="false" customHeight="false" outlineLevel="0" collapsed="false">
      <c r="B120" s="113" t="s">
        <v>229</v>
      </c>
      <c r="C120" s="114" t="s">
        <v>191</v>
      </c>
      <c r="I120" s="115"/>
    </row>
    <row r="121" customFormat="false" ht="14.25" hidden="false" customHeight="false" outlineLevel="0" collapsed="false">
      <c r="B121" s="116" t="s">
        <v>230</v>
      </c>
      <c r="C121" s="117" t="s">
        <v>191</v>
      </c>
      <c r="D121" s="118"/>
      <c r="E121" s="118"/>
      <c r="F121" s="118"/>
      <c r="G121" s="118"/>
      <c r="H121" s="118"/>
      <c r="I121" s="119"/>
    </row>
  </sheetData>
  <mergeCells count="18">
    <mergeCell ref="B2:C2"/>
    <mergeCell ref="D3:H3"/>
    <mergeCell ref="J3:O3"/>
    <mergeCell ref="E19:J19"/>
    <mergeCell ref="B21:B41"/>
    <mergeCell ref="C21:C23"/>
    <mergeCell ref="C24:C26"/>
    <mergeCell ref="C27:C29"/>
    <mergeCell ref="B44:B64"/>
    <mergeCell ref="C44:C46"/>
    <mergeCell ref="C47:C49"/>
    <mergeCell ref="C50:C52"/>
    <mergeCell ref="B67:B87"/>
    <mergeCell ref="C67:C69"/>
    <mergeCell ref="C70:C72"/>
    <mergeCell ref="C73:C75"/>
    <mergeCell ref="C93:H93"/>
    <mergeCell ref="C108:H10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O117"/>
  <sheetViews>
    <sheetView showFormulas="false" showGridLines="true" showRowColHeaders="true" showZeros="true" rightToLeft="false" tabSelected="false" showOutlineSymbols="true" defaultGridColor="true" view="normal" topLeftCell="A95" colorId="64" zoomScale="60" zoomScaleNormal="60" zoomScalePageLayoutView="100" workbookViewId="0">
      <selection pane="topLeft" activeCell="A94" activeCellId="0" sqref="A94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45.18"/>
    <col collapsed="false" customWidth="true" hidden="false" outlineLevel="0" max="3" min="3" style="0" width="18.37"/>
    <col collapsed="false" customWidth="true" hidden="false" outlineLevel="0" max="5" min="4" style="0" width="16.09"/>
    <col collapsed="false" customWidth="true" hidden="false" outlineLevel="0" max="6" min="6" style="0" width="15.82"/>
    <col collapsed="false" customWidth="true" hidden="false" outlineLevel="0" max="7" min="7" style="0" width="11.18"/>
    <col collapsed="false" customWidth="true" hidden="false" outlineLevel="0" max="8" min="8" style="0" width="20.63"/>
    <col collapsed="false" customWidth="true" hidden="false" outlineLevel="0" max="9" min="9" style="0" width="8.82"/>
    <col collapsed="false" customWidth="true" hidden="false" outlineLevel="0" max="10" min="10" style="0" width="11.91"/>
    <col collapsed="false" customWidth="true" hidden="false" outlineLevel="0" max="11" min="11" style="0" width="13.18"/>
    <col collapsed="false" customWidth="true" hidden="false" outlineLevel="0" max="13" min="13" style="0" width="18.37"/>
  </cols>
  <sheetData>
    <row r="1" customFormat="false" ht="14.25" hidden="false" customHeight="false" outlineLevel="0" collapsed="false">
      <c r="B1" s="120" t="s">
        <v>231</v>
      </c>
      <c r="C1" s="120"/>
      <c r="D1" s="120"/>
      <c r="E1" s="120"/>
      <c r="F1" s="120"/>
      <c r="G1" s="120"/>
      <c r="H1" s="120"/>
      <c r="I1" s="120"/>
      <c r="J1" s="120"/>
    </row>
    <row r="2" customFormat="false" ht="26.25" hidden="false" customHeight="true" outlineLevel="0" collapsed="false">
      <c r="D2" s="121" t="s">
        <v>197</v>
      </c>
      <c r="E2" s="121"/>
      <c r="F2" s="121"/>
      <c r="G2" s="121"/>
      <c r="H2" s="121"/>
      <c r="J2" s="122" t="s">
        <v>232</v>
      </c>
      <c r="K2" s="122"/>
      <c r="L2" s="122"/>
      <c r="M2" s="122"/>
      <c r="N2" s="122"/>
      <c r="O2" s="122"/>
    </row>
    <row r="3" customFormat="false" ht="14.25" hidden="false" customHeight="false" outlineLevel="0" collapsed="false">
      <c r="B3" s="3" t="s">
        <v>233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40" t="s">
        <v>199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36</v>
      </c>
    </row>
    <row r="4" customFormat="false" ht="14.25" hidden="false" customHeight="false" outlineLevel="0" collapsed="false">
      <c r="B4" s="4" t="s">
        <v>167</v>
      </c>
      <c r="C4" s="7" t="s">
        <v>10</v>
      </c>
      <c r="D4" s="8" t="n">
        <v>5</v>
      </c>
      <c r="E4" s="40"/>
      <c r="F4" s="40"/>
      <c r="G4" s="8" t="n">
        <v>5</v>
      </c>
      <c r="H4" s="40"/>
      <c r="I4" s="40" t="n">
        <v>1</v>
      </c>
      <c r="J4" s="8" t="n">
        <f aca="false">D4*$I4</f>
        <v>5</v>
      </c>
      <c r="K4" s="8" t="n">
        <f aca="false">E4*$I4</f>
        <v>0</v>
      </c>
      <c r="L4" s="8" t="n">
        <f aca="false">F4*$I4</f>
        <v>0</v>
      </c>
      <c r="M4" s="8" t="n">
        <f aca="false">G4*$I4</f>
        <v>5</v>
      </c>
      <c r="N4" s="8" t="n">
        <f aca="false">H4*$I4</f>
        <v>0</v>
      </c>
      <c r="O4" s="8" t="n">
        <f aca="false">SUM(J4:N4)</f>
        <v>10</v>
      </c>
    </row>
    <row r="5" customFormat="false" ht="14.25" hidden="false" customHeight="false" outlineLevel="0" collapsed="false">
      <c r="B5" s="4" t="s">
        <v>168</v>
      </c>
      <c r="C5" s="7" t="s">
        <v>12</v>
      </c>
      <c r="D5" s="8" t="n">
        <v>4</v>
      </c>
      <c r="E5" s="40"/>
      <c r="F5" s="40"/>
      <c r="G5" s="8" t="n">
        <v>4</v>
      </c>
      <c r="H5" s="40"/>
      <c r="I5" s="40" t="n">
        <v>2</v>
      </c>
      <c r="J5" s="8" t="n">
        <f aca="false">D5*$I5</f>
        <v>8</v>
      </c>
      <c r="K5" s="8" t="n">
        <f aca="false">E5*$I5</f>
        <v>0</v>
      </c>
      <c r="L5" s="8" t="n">
        <f aca="false">F5*$I5</f>
        <v>0</v>
      </c>
      <c r="M5" s="8" t="n">
        <f aca="false">G5*$I5</f>
        <v>8</v>
      </c>
      <c r="N5" s="8" t="n">
        <f aca="false">H5*$I5</f>
        <v>0</v>
      </c>
      <c r="O5" s="8" t="n">
        <f aca="false">SUM(J5:N5)</f>
        <v>16</v>
      </c>
    </row>
    <row r="6" customFormat="false" ht="14.25" hidden="false" customHeight="false" outlineLevel="0" collapsed="false">
      <c r="B6" s="4" t="s">
        <v>169</v>
      </c>
      <c r="C6" s="7" t="s">
        <v>14</v>
      </c>
      <c r="D6" s="8" t="n">
        <v>3</v>
      </c>
      <c r="E6" s="40"/>
      <c r="F6" s="40"/>
      <c r="G6" s="8" t="n">
        <v>3</v>
      </c>
      <c r="H6" s="40"/>
      <c r="I6" s="40" t="n">
        <v>3</v>
      </c>
      <c r="J6" s="8" t="n">
        <f aca="false">D6*$I6</f>
        <v>9</v>
      </c>
      <c r="K6" s="8" t="n">
        <f aca="false">E6*$I6</f>
        <v>0</v>
      </c>
      <c r="L6" s="8" t="n">
        <f aca="false">F6*$I6</f>
        <v>0</v>
      </c>
      <c r="M6" s="8" t="n">
        <f aca="false">G6*$I6</f>
        <v>9</v>
      </c>
      <c r="N6" s="8" t="n">
        <f aca="false">H6*$I6</f>
        <v>0</v>
      </c>
      <c r="O6" s="8" t="n">
        <f aca="false">SUM(J6:N6)</f>
        <v>18</v>
      </c>
    </row>
    <row r="7" customFormat="false" ht="14.25" hidden="false" customHeight="false" outlineLevel="0" collapsed="false">
      <c r="B7" s="4" t="s">
        <v>170</v>
      </c>
      <c r="C7" s="7" t="s">
        <v>18</v>
      </c>
      <c r="D7" s="8" t="n">
        <v>5</v>
      </c>
      <c r="E7" s="40"/>
      <c r="F7" s="40"/>
      <c r="G7" s="8" t="n">
        <v>5</v>
      </c>
      <c r="H7" s="40"/>
      <c r="I7" s="40" t="n">
        <v>5</v>
      </c>
      <c r="J7" s="8" t="n">
        <f aca="false">D7*$I7</f>
        <v>25</v>
      </c>
      <c r="K7" s="8" t="n">
        <f aca="false">E7*$I7</f>
        <v>0</v>
      </c>
      <c r="L7" s="8" t="n">
        <f aca="false">F7*$I7</f>
        <v>0</v>
      </c>
      <c r="M7" s="8" t="n">
        <f aca="false">G7*$I7</f>
        <v>25</v>
      </c>
      <c r="N7" s="8" t="n">
        <f aca="false">H7*$I7</f>
        <v>0</v>
      </c>
      <c r="O7" s="8" t="n">
        <f aca="false">SUM(J7:N7)</f>
        <v>50</v>
      </c>
    </row>
    <row r="8" customFormat="false" ht="14.25" hidden="false" customHeight="false" outlineLevel="0" collapsed="false">
      <c r="B8" s="4" t="s">
        <v>171</v>
      </c>
      <c r="C8" s="7" t="s">
        <v>18</v>
      </c>
      <c r="D8" s="8" t="n">
        <v>2</v>
      </c>
      <c r="E8" s="40"/>
      <c r="F8" s="40"/>
      <c r="G8" s="8" t="n">
        <v>2</v>
      </c>
      <c r="H8" s="40"/>
      <c r="I8" s="40" t="n">
        <v>5</v>
      </c>
      <c r="J8" s="8" t="n">
        <f aca="false">D8*$I8</f>
        <v>10</v>
      </c>
      <c r="K8" s="8" t="n">
        <f aca="false">E8*$I8</f>
        <v>0</v>
      </c>
      <c r="L8" s="8" t="n">
        <f aca="false">F8*$I8</f>
        <v>0</v>
      </c>
      <c r="M8" s="8" t="n">
        <f aca="false">G8*$I8</f>
        <v>10</v>
      </c>
      <c r="N8" s="8" t="n">
        <f aca="false">H8*$I8</f>
        <v>0</v>
      </c>
      <c r="O8" s="8" t="n">
        <f aca="false">SUM(J8:N8)</f>
        <v>20</v>
      </c>
    </row>
    <row r="9" customFormat="false" ht="14.25" hidden="false" customHeight="false" outlineLevel="0" collapsed="false">
      <c r="B9" s="4" t="s">
        <v>172</v>
      </c>
      <c r="C9" s="7" t="s">
        <v>21</v>
      </c>
      <c r="D9" s="8" t="n">
        <v>5</v>
      </c>
      <c r="E9" s="40"/>
      <c r="F9" s="40"/>
      <c r="G9" s="8" t="n">
        <v>5</v>
      </c>
      <c r="H9" s="40"/>
      <c r="I9" s="40" t="n">
        <v>10</v>
      </c>
      <c r="J9" s="8" t="n">
        <f aca="false">D9*$I9</f>
        <v>50</v>
      </c>
      <c r="K9" s="8" t="n">
        <f aca="false">E9*$I9</f>
        <v>0</v>
      </c>
      <c r="L9" s="8" t="n">
        <f aca="false">F9*$I9</f>
        <v>0</v>
      </c>
      <c r="M9" s="8" t="n">
        <f aca="false">G9*$I9</f>
        <v>50</v>
      </c>
      <c r="N9" s="8" t="n">
        <f aca="false">H9*$I9</f>
        <v>0</v>
      </c>
      <c r="O9" s="8" t="n">
        <f aca="false">SUM(J9:N9)</f>
        <v>100</v>
      </c>
    </row>
    <row r="10" customFormat="false" ht="16.4" hidden="false" customHeight="false" outlineLevel="0" collapsed="false">
      <c r="B10" s="4" t="s">
        <v>234</v>
      </c>
      <c r="C10" s="7" t="s">
        <v>23</v>
      </c>
      <c r="D10" s="8" t="n">
        <v>0</v>
      </c>
      <c r="E10" s="40"/>
      <c r="F10" s="40"/>
      <c r="G10" s="8" t="n">
        <v>5</v>
      </c>
      <c r="H10" s="40"/>
      <c r="I10" s="40" t="n">
        <v>100</v>
      </c>
      <c r="J10" s="8" t="n">
        <f aca="false">D10*$I10</f>
        <v>0</v>
      </c>
      <c r="K10" s="8" t="n">
        <f aca="false">E10*$I10</f>
        <v>0</v>
      </c>
      <c r="L10" s="8" t="n">
        <f aca="false">F10*$I10</f>
        <v>0</v>
      </c>
      <c r="M10" s="8" t="n">
        <f aca="false">G10*$I10</f>
        <v>500</v>
      </c>
      <c r="N10" s="8" t="n">
        <f aca="false">H10*$I10</f>
        <v>0</v>
      </c>
      <c r="O10" s="8" t="n">
        <f aca="false">SUM(J10:N10)</f>
        <v>500</v>
      </c>
    </row>
    <row r="11" customFormat="false" ht="14.25" hidden="false" customHeight="false" outlineLevel="0" collapsed="false">
      <c r="B11" s="4" t="s">
        <v>24</v>
      </c>
      <c r="C11" s="7"/>
      <c r="D11" s="13" t="n">
        <f aca="false">SUM(D4:D10)</f>
        <v>24</v>
      </c>
      <c r="E11" s="13" t="n">
        <f aca="false">SUM(E4:E10)</f>
        <v>0</v>
      </c>
      <c r="F11" s="13" t="n">
        <f aca="false">SUM(F4:F10)</f>
        <v>0</v>
      </c>
      <c r="G11" s="13" t="n">
        <f aca="false">SUM(G4:G10)</f>
        <v>29</v>
      </c>
      <c r="H11" s="13" t="n">
        <f aca="false">SUM(H4:H10)</f>
        <v>0</v>
      </c>
      <c r="I11" s="40"/>
      <c r="J11" s="13"/>
      <c r="K11" s="13"/>
      <c r="L11" s="13"/>
      <c r="M11" s="13"/>
      <c r="N11" s="13"/>
      <c r="O11" s="13"/>
    </row>
    <row r="12" customFormat="false" ht="14.25" hidden="false" customHeight="false" outlineLevel="0" collapsed="false">
      <c r="B12" s="123" t="s">
        <v>25</v>
      </c>
      <c r="C12" s="7"/>
      <c r="D12" s="13"/>
      <c r="E12" s="13"/>
      <c r="F12" s="13"/>
      <c r="G12" s="13"/>
      <c r="H12" s="13"/>
      <c r="I12" s="40"/>
      <c r="J12" s="13" t="n">
        <f aca="false">SUM(J4:J10)</f>
        <v>107</v>
      </c>
      <c r="K12" s="13" t="n">
        <f aca="false">SUM(K4:K10)</f>
        <v>0</v>
      </c>
      <c r="L12" s="13" t="n">
        <f aca="false">SUM(L4:L10)</f>
        <v>0</v>
      </c>
      <c r="M12" s="13" t="n">
        <f aca="false">SUM(M4:M10)</f>
        <v>607</v>
      </c>
      <c r="N12" s="13" t="n">
        <f aca="false">SUM(N4:N10)</f>
        <v>0</v>
      </c>
      <c r="O12" s="13" t="n">
        <f aca="false">SUM(O4:O10)</f>
        <v>714</v>
      </c>
    </row>
    <row r="13" customFormat="false" ht="14.25" hidden="false" customHeight="false" outlineLevel="0" collapsed="false">
      <c r="B13" s="124" t="s">
        <v>201</v>
      </c>
      <c r="C13" s="125" t="s">
        <v>202</v>
      </c>
      <c r="K13" s="16"/>
      <c r="L13" s="16"/>
      <c r="M13" s="16"/>
      <c r="N13" s="16"/>
      <c r="O13" s="16"/>
    </row>
    <row r="14" customFormat="false" ht="14.25" hidden="false" customHeight="false" outlineLevel="0" collapsed="false">
      <c r="B14" s="126" t="s">
        <v>203</v>
      </c>
      <c r="C14" s="127" t="n">
        <f aca="false">_xlfn.FLOOR.MATH($J12/2,10)</f>
        <v>50</v>
      </c>
      <c r="K14" s="16"/>
      <c r="L14" s="16"/>
      <c r="M14" s="16"/>
      <c r="N14" s="16"/>
      <c r="O14" s="16"/>
    </row>
    <row r="15" customFormat="false" ht="14.25" hidden="false" customHeight="false" outlineLevel="0" collapsed="false">
      <c r="B15" s="126" t="s">
        <v>204</v>
      </c>
      <c r="C15" s="127" t="n">
        <f aca="false">_xlfn.FLOOR.MATH($J12,10)</f>
        <v>100</v>
      </c>
      <c r="K15" s="16"/>
      <c r="L15" s="16"/>
      <c r="M15" s="16"/>
      <c r="N15" s="16"/>
      <c r="O15" s="16"/>
    </row>
    <row r="16" customFormat="false" ht="14.25" hidden="false" customHeight="false" outlineLevel="0" collapsed="false">
      <c r="B16" s="126" t="s">
        <v>205</v>
      </c>
      <c r="C16" s="128" t="n">
        <f aca="false">_xlfn.FLOOR.MATH($J12,10)*5</f>
        <v>500</v>
      </c>
    </row>
    <row r="18" customFormat="false" ht="14.25" hidden="false" customHeight="false" outlineLevel="0" collapsed="false">
      <c r="B18" s="20" t="s">
        <v>206</v>
      </c>
      <c r="C18" s="20"/>
      <c r="D18" s="20"/>
      <c r="E18" s="26" t="s">
        <v>207</v>
      </c>
      <c r="F18" s="26"/>
      <c r="G18" s="26"/>
      <c r="H18" s="26"/>
      <c r="I18" s="26"/>
      <c r="J18" s="26"/>
    </row>
    <row r="19" customFormat="false" ht="14.25" hidden="false" customHeight="false" outlineLevel="0" collapsed="false">
      <c r="B19" s="20" t="s">
        <v>31</v>
      </c>
      <c r="C19" s="20" t="s">
        <v>208</v>
      </c>
      <c r="D19" s="20" t="s">
        <v>33</v>
      </c>
      <c r="E19" s="20" t="s">
        <v>203</v>
      </c>
      <c r="F19" s="20" t="s">
        <v>204</v>
      </c>
      <c r="G19" s="20" t="s">
        <v>205</v>
      </c>
      <c r="H19" s="20" t="s">
        <v>8</v>
      </c>
      <c r="I19" s="20" t="s">
        <v>8</v>
      </c>
      <c r="J19" s="31" t="s">
        <v>36</v>
      </c>
    </row>
    <row r="20" customFormat="false" ht="14.25" hidden="false" customHeight="true" outlineLevel="0" collapsed="false">
      <c r="B20" s="27" t="s">
        <v>209</v>
      </c>
      <c r="C20" s="27" t="s">
        <v>210</v>
      </c>
      <c r="D20" s="20" t="s">
        <v>39</v>
      </c>
      <c r="E20" s="8" t="n">
        <v>100</v>
      </c>
      <c r="F20" s="8" t="n">
        <v>120</v>
      </c>
      <c r="G20" s="8" t="n">
        <v>100</v>
      </c>
      <c r="H20" s="8"/>
      <c r="I20" s="8"/>
      <c r="J20" s="129" t="n">
        <f aca="false">SUM(E20:I20)</f>
        <v>320</v>
      </c>
    </row>
    <row r="21" customFormat="false" ht="14.25" hidden="false" customHeight="false" outlineLevel="0" collapsed="false">
      <c r="B21" s="27"/>
      <c r="C21" s="27"/>
      <c r="D21" s="20" t="s">
        <v>40</v>
      </c>
      <c r="E21" s="8" t="n">
        <v>100</v>
      </c>
      <c r="F21" s="8" t="n">
        <v>120</v>
      </c>
      <c r="G21" s="8" t="n">
        <v>100</v>
      </c>
      <c r="H21" s="8"/>
      <c r="I21" s="8"/>
      <c r="J21" s="129" t="n">
        <f aca="false">SUM(E21:I21)</f>
        <v>320</v>
      </c>
    </row>
    <row r="22" customFormat="false" ht="14.25" hidden="false" customHeight="false" outlineLevel="0" collapsed="false">
      <c r="B22" s="27"/>
      <c r="C22" s="27"/>
      <c r="D22" s="20" t="s">
        <v>41</v>
      </c>
      <c r="E22" s="8" t="n">
        <v>100</v>
      </c>
      <c r="F22" s="8" t="n">
        <v>120</v>
      </c>
      <c r="G22" s="8" t="n">
        <v>100</v>
      </c>
      <c r="H22" s="8"/>
      <c r="I22" s="8"/>
      <c r="J22" s="129" t="n">
        <f aca="false">SUM(E22:I22)</f>
        <v>320</v>
      </c>
    </row>
    <row r="23" customFormat="false" ht="14.25" hidden="false" customHeight="true" outlineLevel="0" collapsed="false">
      <c r="B23" s="27"/>
      <c r="C23" s="27" t="s">
        <v>211</v>
      </c>
      <c r="D23" s="20" t="s">
        <v>43</v>
      </c>
      <c r="E23" s="8" t="n">
        <v>100</v>
      </c>
      <c r="F23" s="8" t="n">
        <v>120</v>
      </c>
      <c r="G23" s="8" t="n">
        <v>100</v>
      </c>
      <c r="H23" s="8"/>
      <c r="I23" s="8"/>
      <c r="J23" s="129" t="n">
        <f aca="false">SUM(E23:I23)</f>
        <v>320</v>
      </c>
    </row>
    <row r="24" customFormat="false" ht="14.25" hidden="false" customHeight="false" outlineLevel="0" collapsed="false">
      <c r="B24" s="27"/>
      <c r="C24" s="27"/>
      <c r="D24" s="20" t="s">
        <v>44</v>
      </c>
      <c r="E24" s="8" t="n">
        <v>100</v>
      </c>
      <c r="F24" s="8" t="n">
        <v>120</v>
      </c>
      <c r="G24" s="8" t="n">
        <v>100</v>
      </c>
      <c r="H24" s="8"/>
      <c r="I24" s="8"/>
      <c r="J24" s="129" t="n">
        <f aca="false">SUM(E24:I24)</f>
        <v>320</v>
      </c>
    </row>
    <row r="25" customFormat="false" ht="14.25" hidden="false" customHeight="false" outlineLevel="0" collapsed="false">
      <c r="B25" s="27"/>
      <c r="C25" s="27"/>
      <c r="D25" s="20" t="s">
        <v>45</v>
      </c>
      <c r="E25" s="8" t="n">
        <v>100</v>
      </c>
      <c r="F25" s="8" t="n">
        <v>120</v>
      </c>
      <c r="G25" s="8" t="n">
        <v>100</v>
      </c>
      <c r="H25" s="8"/>
      <c r="I25" s="8"/>
      <c r="J25" s="129" t="n">
        <f aca="false">SUM(E25:I25)</f>
        <v>320</v>
      </c>
    </row>
    <row r="26" customFormat="false" ht="14.25" hidden="false" customHeight="true" outlineLevel="0" collapsed="false">
      <c r="B26" s="27"/>
      <c r="C26" s="27" t="s">
        <v>212</v>
      </c>
      <c r="D26" s="20" t="s">
        <v>47</v>
      </c>
      <c r="E26" s="8" t="n">
        <v>100</v>
      </c>
      <c r="F26" s="8" t="n">
        <v>120</v>
      </c>
      <c r="G26" s="8" t="n">
        <v>100</v>
      </c>
      <c r="H26" s="8"/>
      <c r="I26" s="8"/>
      <c r="J26" s="129" t="n">
        <f aca="false">SUM(E26:I26)</f>
        <v>320</v>
      </c>
    </row>
    <row r="27" customFormat="false" ht="14.25" hidden="false" customHeight="false" outlineLevel="0" collapsed="false">
      <c r="B27" s="27"/>
      <c r="C27" s="27"/>
      <c r="D27" s="20" t="s">
        <v>48</v>
      </c>
      <c r="E27" s="8" t="n">
        <v>100</v>
      </c>
      <c r="F27" s="8" t="n">
        <v>120</v>
      </c>
      <c r="G27" s="8" t="n">
        <v>100</v>
      </c>
      <c r="H27" s="8"/>
      <c r="I27" s="8"/>
      <c r="J27" s="129" t="n">
        <f aca="false">SUM(E27:I27)</f>
        <v>320</v>
      </c>
    </row>
    <row r="28" customFormat="false" ht="14.25" hidden="false" customHeight="false" outlineLevel="0" collapsed="false">
      <c r="B28" s="27"/>
      <c r="C28" s="27"/>
      <c r="D28" s="20" t="s">
        <v>49</v>
      </c>
      <c r="E28" s="8" t="n">
        <v>100</v>
      </c>
      <c r="F28" s="8" t="n">
        <v>120</v>
      </c>
      <c r="G28" s="8" t="n">
        <v>100</v>
      </c>
      <c r="H28" s="8"/>
      <c r="I28" s="8"/>
      <c r="J28" s="129" t="n">
        <f aca="false">SUM(E28:I28)</f>
        <v>320</v>
      </c>
    </row>
    <row r="29" customFormat="false" ht="14.25" hidden="false" customHeight="true" outlineLevel="0" collapsed="false">
      <c r="B29" s="27"/>
      <c r="C29" s="130" t="s">
        <v>213</v>
      </c>
      <c r="D29" s="20"/>
      <c r="E29" s="8"/>
      <c r="F29" s="8"/>
      <c r="G29" s="8"/>
      <c r="H29" s="8"/>
      <c r="I29" s="8"/>
      <c r="J29" s="129" t="n">
        <f aca="false">SUM(E29:I29)</f>
        <v>0</v>
      </c>
    </row>
    <row r="30" customFormat="false" ht="14.25" hidden="false" customHeight="false" outlineLevel="0" collapsed="false">
      <c r="B30" s="27"/>
      <c r="C30" s="131"/>
      <c r="D30" s="20"/>
      <c r="E30" s="8"/>
      <c r="F30" s="8"/>
      <c r="G30" s="8"/>
      <c r="H30" s="8"/>
      <c r="I30" s="8"/>
      <c r="J30" s="129" t="n">
        <f aca="false">SUM(E30:I30)</f>
        <v>0</v>
      </c>
    </row>
    <row r="31" customFormat="false" ht="14.25" hidden="false" customHeight="false" outlineLevel="0" collapsed="false">
      <c r="B31" s="27"/>
      <c r="C31" s="132"/>
      <c r="D31" s="20"/>
      <c r="E31" s="8"/>
      <c r="F31" s="8"/>
      <c r="G31" s="8"/>
      <c r="H31" s="8"/>
      <c r="I31" s="8"/>
      <c r="J31" s="129" t="n">
        <f aca="false">SUM(E31:I31)</f>
        <v>0</v>
      </c>
    </row>
    <row r="32" customFormat="false" ht="14.25" hidden="false" customHeight="true" outlineLevel="0" collapsed="false">
      <c r="B32" s="27"/>
      <c r="C32" s="130" t="s">
        <v>213</v>
      </c>
      <c r="D32" s="20"/>
      <c r="E32" s="8"/>
      <c r="F32" s="8"/>
      <c r="G32" s="8"/>
      <c r="H32" s="8"/>
      <c r="I32" s="8"/>
      <c r="J32" s="129" t="n">
        <f aca="false">SUM(E32:I32)</f>
        <v>0</v>
      </c>
    </row>
    <row r="33" customFormat="false" ht="14.25" hidden="false" customHeight="false" outlineLevel="0" collapsed="false">
      <c r="B33" s="27"/>
      <c r="C33" s="131"/>
      <c r="D33" s="20"/>
      <c r="E33" s="8"/>
      <c r="F33" s="8"/>
      <c r="G33" s="8"/>
      <c r="H33" s="8"/>
      <c r="I33" s="8"/>
      <c r="J33" s="129" t="n">
        <f aca="false">SUM(E33:I33)</f>
        <v>0</v>
      </c>
    </row>
    <row r="34" customFormat="false" ht="14.25" hidden="false" customHeight="false" outlineLevel="0" collapsed="false">
      <c r="B34" s="27"/>
      <c r="C34" s="132"/>
      <c r="D34" s="20"/>
      <c r="E34" s="8"/>
      <c r="F34" s="8"/>
      <c r="G34" s="8"/>
      <c r="H34" s="8"/>
      <c r="I34" s="8"/>
      <c r="J34" s="129" t="n">
        <f aca="false">SUM(E34:I34)</f>
        <v>0</v>
      </c>
    </row>
    <row r="35" customFormat="false" ht="14.25" hidden="false" customHeight="true" outlineLevel="0" collapsed="false">
      <c r="B35" s="27"/>
      <c r="C35" s="130" t="s">
        <v>213</v>
      </c>
      <c r="D35" s="20"/>
      <c r="E35" s="8"/>
      <c r="F35" s="8"/>
      <c r="G35" s="8"/>
      <c r="H35" s="8"/>
      <c r="I35" s="8"/>
      <c r="J35" s="129" t="n">
        <f aca="false">SUM(E35:I35)</f>
        <v>0</v>
      </c>
    </row>
    <row r="36" customFormat="false" ht="14.25" hidden="false" customHeight="false" outlineLevel="0" collapsed="false">
      <c r="B36" s="27"/>
      <c r="C36" s="131"/>
      <c r="D36" s="20"/>
      <c r="E36" s="8"/>
      <c r="F36" s="8"/>
      <c r="G36" s="8"/>
      <c r="H36" s="8"/>
      <c r="I36" s="8"/>
      <c r="J36" s="129" t="n">
        <f aca="false">SUM(E36:I36)</f>
        <v>0</v>
      </c>
    </row>
    <row r="37" customFormat="false" ht="14.25" hidden="false" customHeight="false" outlineLevel="0" collapsed="false">
      <c r="B37" s="27"/>
      <c r="C37" s="132"/>
      <c r="D37" s="20"/>
      <c r="E37" s="8"/>
      <c r="F37" s="8"/>
      <c r="G37" s="8"/>
      <c r="H37" s="8"/>
      <c r="I37" s="8"/>
      <c r="J37" s="129" t="n">
        <f aca="false">SUM(E37:I37)</f>
        <v>0</v>
      </c>
    </row>
    <row r="38" customFormat="false" ht="16.4" hidden="false" customHeight="false" outlineLevel="0" collapsed="false">
      <c r="B38" s="27"/>
      <c r="C38" s="130" t="s">
        <v>213</v>
      </c>
      <c r="D38" s="20"/>
      <c r="E38" s="8"/>
      <c r="F38" s="8"/>
      <c r="G38" s="8"/>
      <c r="H38" s="8"/>
      <c r="I38" s="8"/>
      <c r="J38" s="129" t="n">
        <f aca="false">SUM(E38:I38)</f>
        <v>0</v>
      </c>
    </row>
    <row r="39" customFormat="false" ht="14.25" hidden="false" customHeight="false" outlineLevel="0" collapsed="false">
      <c r="B39" s="27"/>
      <c r="C39" s="131"/>
      <c r="D39" s="20"/>
      <c r="E39" s="8"/>
      <c r="F39" s="8"/>
      <c r="G39" s="8"/>
      <c r="H39" s="8"/>
      <c r="I39" s="8"/>
      <c r="J39" s="129" t="n">
        <f aca="false">SUM(E39:I39)</f>
        <v>0</v>
      </c>
    </row>
    <row r="40" customFormat="false" ht="14.25" hidden="false" customHeight="false" outlineLevel="0" collapsed="false">
      <c r="B40" s="27"/>
      <c r="C40" s="132"/>
      <c r="D40" s="20"/>
      <c r="E40" s="8"/>
      <c r="F40" s="8"/>
      <c r="G40" s="8"/>
      <c r="H40" s="8"/>
      <c r="I40" s="8"/>
      <c r="J40" s="129" t="n">
        <f aca="false">SUM(E40:I40)</f>
        <v>0</v>
      </c>
    </row>
    <row r="41" customFormat="false" ht="14.25" hidden="false" customHeight="false" outlineLevel="0" collapsed="false">
      <c r="B41" s="20" t="s">
        <v>214</v>
      </c>
      <c r="C41" s="20"/>
      <c r="D41" s="20"/>
      <c r="E41" s="133" t="n">
        <f aca="false">SUM(E20:E40)</f>
        <v>900</v>
      </c>
      <c r="F41" s="133" t="n">
        <f aca="false">SUM(F20:F40)</f>
        <v>1080</v>
      </c>
      <c r="G41" s="133" t="n">
        <f aca="false">SUM(G20:G40)</f>
        <v>900</v>
      </c>
      <c r="H41" s="133" t="n">
        <f aca="false">SUM(H20:H40)</f>
        <v>0</v>
      </c>
      <c r="I41" s="133" t="n">
        <f aca="false">SUM(I20:I40)</f>
        <v>0</v>
      </c>
      <c r="J41" s="134" t="n">
        <f aca="false">SUM(E41:I41)</f>
        <v>2880</v>
      </c>
    </row>
    <row r="42" customFormat="false" ht="14.25" hidden="false" customHeight="false" outlineLevel="0" collapsed="false">
      <c r="B42" s="20" t="s">
        <v>215</v>
      </c>
      <c r="C42" s="20"/>
      <c r="D42" s="20"/>
      <c r="E42" s="133" t="n">
        <f aca="false">SUM(E20:E40)*$C$14/2</f>
        <v>22500</v>
      </c>
      <c r="F42" s="133" t="n">
        <f aca="false">SUM(F20:F40)*$C$15</f>
        <v>108000</v>
      </c>
      <c r="G42" s="133" t="n">
        <f aca="false">SUM(G20:G40)*$C$16</f>
        <v>450000</v>
      </c>
      <c r="H42" s="133" t="n">
        <f aca="false">SUM(H20:H40)</f>
        <v>0</v>
      </c>
      <c r="I42" s="133" t="n">
        <f aca="false">SUM(I20:I40)</f>
        <v>0</v>
      </c>
      <c r="J42" s="134" t="n">
        <f aca="false">SUM(E42:I42)</f>
        <v>580500</v>
      </c>
    </row>
    <row r="43" customFormat="false" ht="14.25" hidden="false" customHeight="true" outlineLevel="0" collapsed="false">
      <c r="B43" s="27" t="s">
        <v>216</v>
      </c>
      <c r="C43" s="27" t="s">
        <v>38</v>
      </c>
      <c r="D43" s="20" t="s">
        <v>39</v>
      </c>
      <c r="E43" s="8" t="n">
        <v>100</v>
      </c>
      <c r="F43" s="8" t="n">
        <v>120</v>
      </c>
      <c r="G43" s="8" t="n">
        <v>100</v>
      </c>
      <c r="H43" s="8"/>
      <c r="I43" s="8"/>
      <c r="J43" s="129" t="n">
        <f aca="false">SUM(E43:I43)</f>
        <v>320</v>
      </c>
    </row>
    <row r="44" customFormat="false" ht="14.25" hidden="false" customHeight="false" outlineLevel="0" collapsed="false">
      <c r="B44" s="27"/>
      <c r="C44" s="27"/>
      <c r="D44" s="20" t="s">
        <v>40</v>
      </c>
      <c r="E44" s="8" t="n">
        <v>100</v>
      </c>
      <c r="F44" s="8" t="n">
        <v>120</v>
      </c>
      <c r="G44" s="8" t="n">
        <v>100</v>
      </c>
      <c r="H44" s="8"/>
      <c r="I44" s="8"/>
      <c r="J44" s="129" t="n">
        <f aca="false">SUM(E44:I44)</f>
        <v>320</v>
      </c>
    </row>
    <row r="45" customFormat="false" ht="14.25" hidden="false" customHeight="false" outlineLevel="0" collapsed="false">
      <c r="B45" s="27"/>
      <c r="C45" s="27"/>
      <c r="D45" s="20" t="s">
        <v>41</v>
      </c>
      <c r="E45" s="8" t="n">
        <v>100</v>
      </c>
      <c r="F45" s="8" t="n">
        <v>120</v>
      </c>
      <c r="G45" s="8" t="n">
        <v>100</v>
      </c>
      <c r="H45" s="8"/>
      <c r="I45" s="8"/>
      <c r="J45" s="129" t="n">
        <f aca="false">SUM(E45:I45)</f>
        <v>320</v>
      </c>
    </row>
    <row r="46" customFormat="false" ht="14.25" hidden="false" customHeight="true" outlineLevel="0" collapsed="false">
      <c r="B46" s="27"/>
      <c r="C46" s="27" t="s">
        <v>42</v>
      </c>
      <c r="D46" s="20" t="s">
        <v>43</v>
      </c>
      <c r="E46" s="8" t="n">
        <v>100</v>
      </c>
      <c r="F46" s="8" t="n">
        <v>120</v>
      </c>
      <c r="G46" s="8" t="n">
        <v>100</v>
      </c>
      <c r="H46" s="8"/>
      <c r="I46" s="8"/>
      <c r="J46" s="129" t="n">
        <f aca="false">SUM(E46:I46)</f>
        <v>320</v>
      </c>
    </row>
    <row r="47" customFormat="false" ht="14.25" hidden="false" customHeight="false" outlineLevel="0" collapsed="false">
      <c r="B47" s="27"/>
      <c r="C47" s="27"/>
      <c r="D47" s="20" t="s">
        <v>44</v>
      </c>
      <c r="E47" s="8" t="n">
        <v>100</v>
      </c>
      <c r="F47" s="8" t="n">
        <v>120</v>
      </c>
      <c r="G47" s="8" t="n">
        <v>100</v>
      </c>
      <c r="H47" s="8"/>
      <c r="I47" s="8"/>
      <c r="J47" s="129" t="n">
        <f aca="false">SUM(E47:I47)</f>
        <v>320</v>
      </c>
    </row>
    <row r="48" customFormat="false" ht="14.25" hidden="false" customHeight="false" outlineLevel="0" collapsed="false">
      <c r="B48" s="27"/>
      <c r="C48" s="27"/>
      <c r="D48" s="20" t="s">
        <v>45</v>
      </c>
      <c r="E48" s="8" t="n">
        <v>100</v>
      </c>
      <c r="F48" s="8" t="n">
        <v>120</v>
      </c>
      <c r="G48" s="8" t="n">
        <v>100</v>
      </c>
      <c r="H48" s="8"/>
      <c r="I48" s="8"/>
      <c r="J48" s="129" t="n">
        <f aca="false">SUM(E48:I48)</f>
        <v>320</v>
      </c>
    </row>
    <row r="49" customFormat="false" ht="14.25" hidden="false" customHeight="true" outlineLevel="0" collapsed="false">
      <c r="B49" s="27"/>
      <c r="C49" s="27" t="s">
        <v>46</v>
      </c>
      <c r="D49" s="20" t="s">
        <v>47</v>
      </c>
      <c r="E49" s="8" t="n">
        <v>100</v>
      </c>
      <c r="F49" s="8" t="n">
        <v>120</v>
      </c>
      <c r="G49" s="8" t="n">
        <v>100</v>
      </c>
      <c r="H49" s="8"/>
      <c r="I49" s="8"/>
      <c r="J49" s="129" t="n">
        <f aca="false">SUM(E49:I49)</f>
        <v>320</v>
      </c>
    </row>
    <row r="50" customFormat="false" ht="14.25" hidden="false" customHeight="false" outlineLevel="0" collapsed="false">
      <c r="B50" s="27"/>
      <c r="C50" s="27"/>
      <c r="D50" s="20" t="s">
        <v>48</v>
      </c>
      <c r="E50" s="8" t="n">
        <v>100</v>
      </c>
      <c r="F50" s="8" t="n">
        <v>120</v>
      </c>
      <c r="G50" s="8" t="n">
        <v>100</v>
      </c>
      <c r="H50" s="8"/>
      <c r="I50" s="8"/>
      <c r="J50" s="129" t="n">
        <f aca="false">SUM(E50:I50)</f>
        <v>320</v>
      </c>
    </row>
    <row r="51" customFormat="false" ht="14.25" hidden="false" customHeight="false" outlineLevel="0" collapsed="false">
      <c r="B51" s="27"/>
      <c r="C51" s="27"/>
      <c r="D51" s="20" t="s">
        <v>49</v>
      </c>
      <c r="E51" s="8" t="n">
        <v>100</v>
      </c>
      <c r="F51" s="8" t="n">
        <v>120</v>
      </c>
      <c r="G51" s="8" t="n">
        <v>100</v>
      </c>
      <c r="H51" s="8"/>
      <c r="I51" s="8"/>
      <c r="J51" s="129" t="n">
        <f aca="false">SUM(E51:I51)</f>
        <v>320</v>
      </c>
    </row>
    <row r="52" customFormat="false" ht="14.25" hidden="false" customHeight="true" outlineLevel="0" collapsed="false">
      <c r="B52" s="27"/>
      <c r="C52" s="130" t="s">
        <v>213</v>
      </c>
      <c r="D52" s="20"/>
      <c r="E52" s="8"/>
      <c r="F52" s="8"/>
      <c r="G52" s="8"/>
      <c r="H52" s="8"/>
      <c r="I52" s="8"/>
      <c r="J52" s="129" t="n">
        <f aca="false">SUM(E52:I52)</f>
        <v>0</v>
      </c>
    </row>
    <row r="53" customFormat="false" ht="14.25" hidden="false" customHeight="false" outlineLevel="0" collapsed="false">
      <c r="B53" s="27"/>
      <c r="C53" s="131"/>
      <c r="D53" s="20"/>
      <c r="E53" s="8"/>
      <c r="F53" s="8"/>
      <c r="G53" s="8"/>
      <c r="H53" s="8"/>
      <c r="I53" s="8"/>
      <c r="J53" s="129" t="n">
        <f aca="false">SUM(E53:I53)</f>
        <v>0</v>
      </c>
    </row>
    <row r="54" customFormat="false" ht="14.25" hidden="false" customHeight="false" outlineLevel="0" collapsed="false">
      <c r="B54" s="27"/>
      <c r="C54" s="132"/>
      <c r="D54" s="20"/>
      <c r="E54" s="8"/>
      <c r="F54" s="8"/>
      <c r="G54" s="8"/>
      <c r="H54" s="8"/>
      <c r="I54" s="8"/>
      <c r="J54" s="129" t="n">
        <f aca="false">SUM(E54:I54)</f>
        <v>0</v>
      </c>
    </row>
    <row r="55" customFormat="false" ht="14.25" hidden="false" customHeight="true" outlineLevel="0" collapsed="false">
      <c r="B55" s="27"/>
      <c r="C55" s="130" t="s">
        <v>213</v>
      </c>
      <c r="D55" s="20"/>
      <c r="E55" s="8"/>
      <c r="F55" s="8"/>
      <c r="G55" s="8"/>
      <c r="H55" s="8"/>
      <c r="I55" s="8"/>
      <c r="J55" s="129" t="n">
        <f aca="false">SUM(E55:I55)</f>
        <v>0</v>
      </c>
    </row>
    <row r="56" customFormat="false" ht="14.25" hidden="false" customHeight="false" outlineLevel="0" collapsed="false">
      <c r="B56" s="27"/>
      <c r="C56" s="131"/>
      <c r="D56" s="20"/>
      <c r="E56" s="8"/>
      <c r="F56" s="8"/>
      <c r="G56" s="8"/>
      <c r="H56" s="8"/>
      <c r="I56" s="8"/>
      <c r="J56" s="129" t="n">
        <f aca="false">SUM(E56:I56)</f>
        <v>0</v>
      </c>
    </row>
    <row r="57" customFormat="false" ht="14.25" hidden="false" customHeight="false" outlineLevel="0" collapsed="false">
      <c r="B57" s="27"/>
      <c r="C57" s="132"/>
      <c r="D57" s="20"/>
      <c r="E57" s="8"/>
      <c r="F57" s="8"/>
      <c r="G57" s="8"/>
      <c r="H57" s="8"/>
      <c r="I57" s="8"/>
      <c r="J57" s="129" t="n">
        <f aca="false">SUM(E57:I57)</f>
        <v>0</v>
      </c>
    </row>
    <row r="58" customFormat="false" ht="14.25" hidden="false" customHeight="true" outlineLevel="0" collapsed="false">
      <c r="B58" s="27"/>
      <c r="C58" s="130" t="s">
        <v>213</v>
      </c>
      <c r="D58" s="20"/>
      <c r="E58" s="8"/>
      <c r="F58" s="8"/>
      <c r="G58" s="8"/>
      <c r="H58" s="8"/>
      <c r="I58" s="8"/>
      <c r="J58" s="129" t="n">
        <f aca="false">SUM(E58:I58)</f>
        <v>0</v>
      </c>
    </row>
    <row r="59" customFormat="false" ht="14.25" hidden="false" customHeight="false" outlineLevel="0" collapsed="false">
      <c r="B59" s="27"/>
      <c r="C59" s="131"/>
      <c r="D59" s="20"/>
      <c r="E59" s="8"/>
      <c r="F59" s="8"/>
      <c r="G59" s="8"/>
      <c r="H59" s="8"/>
      <c r="I59" s="8"/>
      <c r="J59" s="129" t="n">
        <f aca="false">SUM(E59:I59)</f>
        <v>0</v>
      </c>
    </row>
    <row r="60" customFormat="false" ht="14.25" hidden="false" customHeight="false" outlineLevel="0" collapsed="false">
      <c r="B60" s="27"/>
      <c r="C60" s="132"/>
      <c r="D60" s="20"/>
      <c r="E60" s="8"/>
      <c r="F60" s="8"/>
      <c r="G60" s="8"/>
      <c r="H60" s="8"/>
      <c r="I60" s="8"/>
      <c r="J60" s="129" t="n">
        <f aca="false">SUM(E60:I60)</f>
        <v>0</v>
      </c>
    </row>
    <row r="61" customFormat="false" ht="16.4" hidden="false" customHeight="false" outlineLevel="0" collapsed="false">
      <c r="B61" s="27"/>
      <c r="C61" s="130" t="s">
        <v>213</v>
      </c>
      <c r="D61" s="20"/>
      <c r="E61" s="8"/>
      <c r="F61" s="8"/>
      <c r="G61" s="8"/>
      <c r="H61" s="8"/>
      <c r="I61" s="8"/>
      <c r="J61" s="129" t="n">
        <f aca="false">SUM(E61:I61)</f>
        <v>0</v>
      </c>
    </row>
    <row r="62" customFormat="false" ht="14.25" hidden="false" customHeight="false" outlineLevel="0" collapsed="false">
      <c r="B62" s="27"/>
      <c r="C62" s="131"/>
      <c r="D62" s="20"/>
      <c r="E62" s="8"/>
      <c r="F62" s="8"/>
      <c r="G62" s="8"/>
      <c r="H62" s="8"/>
      <c r="I62" s="8"/>
      <c r="J62" s="129" t="n">
        <f aca="false">SUM(E62:I62)</f>
        <v>0</v>
      </c>
    </row>
    <row r="63" customFormat="false" ht="14.25" hidden="false" customHeight="false" outlineLevel="0" collapsed="false">
      <c r="B63" s="27"/>
      <c r="C63" s="132"/>
      <c r="D63" s="20"/>
      <c r="E63" s="8"/>
      <c r="F63" s="8"/>
      <c r="G63" s="8"/>
      <c r="H63" s="8"/>
      <c r="I63" s="8"/>
      <c r="J63" s="129" t="n">
        <f aca="false">SUM(E63:I63)</f>
        <v>0</v>
      </c>
    </row>
    <row r="64" customFormat="false" ht="14.25" hidden="false" customHeight="false" outlineLevel="0" collapsed="false">
      <c r="B64" s="20" t="s">
        <v>217</v>
      </c>
      <c r="C64" s="20"/>
      <c r="D64" s="20"/>
      <c r="E64" s="133" t="n">
        <f aca="false">SUM(E43:E63)</f>
        <v>900</v>
      </c>
      <c r="F64" s="133" t="n">
        <f aca="false">SUM(F43:F63)</f>
        <v>1080</v>
      </c>
      <c r="G64" s="133" t="n">
        <f aca="false">SUM(G43:G63)</f>
        <v>900</v>
      </c>
      <c r="H64" s="133" t="n">
        <f aca="false">SUM(H43:H63)</f>
        <v>0</v>
      </c>
      <c r="I64" s="133" t="n">
        <f aca="false">SUM(I43:I63)</f>
        <v>0</v>
      </c>
      <c r="J64" s="134" t="n">
        <f aca="false">SUM(E64:I64)</f>
        <v>2880</v>
      </c>
    </row>
    <row r="65" customFormat="false" ht="14.25" hidden="false" customHeight="false" outlineLevel="0" collapsed="false">
      <c r="B65" s="20" t="s">
        <v>218</v>
      </c>
      <c r="C65" s="20"/>
      <c r="D65" s="20"/>
      <c r="E65" s="133" t="n">
        <f aca="false">SUM(E43:E63)*$C$14/2</f>
        <v>22500</v>
      </c>
      <c r="F65" s="133" t="n">
        <f aca="false">SUM(F43:F63)*$C$15</f>
        <v>108000</v>
      </c>
      <c r="G65" s="133" t="n">
        <f aca="false">SUM(G43:G63)*$C$16</f>
        <v>450000</v>
      </c>
      <c r="H65" s="133" t="n">
        <f aca="false">SUM(H43:H63)</f>
        <v>0</v>
      </c>
      <c r="I65" s="133" t="n">
        <f aca="false">SUM(I43:I63)</f>
        <v>0</v>
      </c>
      <c r="J65" s="134" t="n">
        <f aca="false">SUM(E65:I65)</f>
        <v>580500</v>
      </c>
    </row>
    <row r="66" customFormat="false" ht="14.25" hidden="false" customHeight="true" outlineLevel="0" collapsed="false">
      <c r="B66" s="27" t="s">
        <v>219</v>
      </c>
      <c r="C66" s="27" t="s">
        <v>38</v>
      </c>
      <c r="D66" s="20" t="s">
        <v>39</v>
      </c>
      <c r="E66" s="8" t="n">
        <v>100</v>
      </c>
      <c r="F66" s="8" t="n">
        <v>120</v>
      </c>
      <c r="G66" s="8" t="n">
        <v>100</v>
      </c>
      <c r="H66" s="8"/>
      <c r="I66" s="8"/>
      <c r="J66" s="129" t="n">
        <f aca="false">SUM(E66:I66)</f>
        <v>320</v>
      </c>
    </row>
    <row r="67" customFormat="false" ht="14.25" hidden="false" customHeight="false" outlineLevel="0" collapsed="false">
      <c r="B67" s="27"/>
      <c r="C67" s="27"/>
      <c r="D67" s="20" t="s">
        <v>40</v>
      </c>
      <c r="E67" s="8" t="n">
        <v>100</v>
      </c>
      <c r="F67" s="8" t="n">
        <v>120</v>
      </c>
      <c r="G67" s="8" t="n">
        <v>100</v>
      </c>
      <c r="H67" s="8"/>
      <c r="I67" s="8"/>
      <c r="J67" s="129" t="n">
        <f aca="false">SUM(E67:I67)</f>
        <v>320</v>
      </c>
    </row>
    <row r="68" customFormat="false" ht="14.25" hidden="false" customHeight="false" outlineLevel="0" collapsed="false">
      <c r="B68" s="27"/>
      <c r="C68" s="27"/>
      <c r="D68" s="20" t="s">
        <v>41</v>
      </c>
      <c r="E68" s="8" t="n">
        <v>100</v>
      </c>
      <c r="F68" s="8" t="n">
        <v>120</v>
      </c>
      <c r="G68" s="8" t="n">
        <v>100</v>
      </c>
      <c r="H68" s="8"/>
      <c r="I68" s="8"/>
      <c r="J68" s="129" t="n">
        <f aca="false">SUM(E68:I68)</f>
        <v>320</v>
      </c>
    </row>
    <row r="69" customFormat="false" ht="14.25" hidden="false" customHeight="true" outlineLevel="0" collapsed="false">
      <c r="B69" s="27"/>
      <c r="C69" s="27" t="s">
        <v>42</v>
      </c>
      <c r="D69" s="20" t="s">
        <v>43</v>
      </c>
      <c r="E69" s="8" t="n">
        <v>100</v>
      </c>
      <c r="F69" s="8" t="n">
        <v>120</v>
      </c>
      <c r="G69" s="8" t="n">
        <v>100</v>
      </c>
      <c r="H69" s="8"/>
      <c r="I69" s="8"/>
      <c r="J69" s="129" t="n">
        <f aca="false">SUM(E69:I69)</f>
        <v>320</v>
      </c>
    </row>
    <row r="70" customFormat="false" ht="14.25" hidden="false" customHeight="false" outlineLevel="0" collapsed="false">
      <c r="B70" s="27"/>
      <c r="C70" s="27"/>
      <c r="D70" s="20" t="s">
        <v>44</v>
      </c>
      <c r="E70" s="8" t="n">
        <v>100</v>
      </c>
      <c r="F70" s="8" t="n">
        <v>120</v>
      </c>
      <c r="G70" s="8" t="n">
        <v>100</v>
      </c>
      <c r="H70" s="8"/>
      <c r="I70" s="8"/>
      <c r="J70" s="129" t="n">
        <f aca="false">SUM(E70:I70)</f>
        <v>320</v>
      </c>
    </row>
    <row r="71" customFormat="false" ht="14.25" hidden="false" customHeight="false" outlineLevel="0" collapsed="false">
      <c r="B71" s="27"/>
      <c r="C71" s="27"/>
      <c r="D71" s="20" t="s">
        <v>45</v>
      </c>
      <c r="E71" s="8" t="n">
        <v>100</v>
      </c>
      <c r="F71" s="8" t="n">
        <v>120</v>
      </c>
      <c r="G71" s="8" t="n">
        <v>100</v>
      </c>
      <c r="H71" s="8"/>
      <c r="I71" s="8"/>
      <c r="J71" s="129" t="n">
        <f aca="false">SUM(E71:I71)</f>
        <v>320</v>
      </c>
    </row>
    <row r="72" customFormat="false" ht="14.25" hidden="false" customHeight="true" outlineLevel="0" collapsed="false">
      <c r="B72" s="27"/>
      <c r="C72" s="27" t="s">
        <v>46</v>
      </c>
      <c r="D72" s="20" t="s">
        <v>47</v>
      </c>
      <c r="E72" s="8" t="n">
        <v>100</v>
      </c>
      <c r="F72" s="8" t="n">
        <v>120</v>
      </c>
      <c r="G72" s="8" t="n">
        <v>100</v>
      </c>
      <c r="H72" s="8"/>
      <c r="I72" s="8"/>
      <c r="J72" s="129" t="n">
        <f aca="false">SUM(E72:I72)</f>
        <v>320</v>
      </c>
    </row>
    <row r="73" customFormat="false" ht="14.25" hidden="false" customHeight="false" outlineLevel="0" collapsed="false">
      <c r="B73" s="27"/>
      <c r="C73" s="27"/>
      <c r="D73" s="20" t="s">
        <v>48</v>
      </c>
      <c r="E73" s="8" t="n">
        <v>100</v>
      </c>
      <c r="F73" s="8" t="n">
        <v>120</v>
      </c>
      <c r="G73" s="8" t="n">
        <v>100</v>
      </c>
      <c r="H73" s="8"/>
      <c r="I73" s="8"/>
      <c r="J73" s="129" t="n">
        <f aca="false">SUM(E73:I73)</f>
        <v>320</v>
      </c>
    </row>
    <row r="74" customFormat="false" ht="14.25" hidden="false" customHeight="false" outlineLevel="0" collapsed="false">
      <c r="B74" s="27"/>
      <c r="C74" s="27"/>
      <c r="D74" s="20" t="s">
        <v>49</v>
      </c>
      <c r="E74" s="8" t="n">
        <v>100</v>
      </c>
      <c r="F74" s="8" t="n">
        <v>120</v>
      </c>
      <c r="G74" s="8" t="n">
        <v>100</v>
      </c>
      <c r="H74" s="8"/>
      <c r="I74" s="8"/>
      <c r="J74" s="129" t="n">
        <f aca="false">SUM(E74:I74)</f>
        <v>320</v>
      </c>
    </row>
    <row r="75" customFormat="false" ht="14.25" hidden="false" customHeight="true" outlineLevel="0" collapsed="false">
      <c r="B75" s="27"/>
      <c r="C75" s="130" t="s">
        <v>213</v>
      </c>
      <c r="D75" s="20"/>
      <c r="E75" s="8"/>
      <c r="F75" s="8"/>
      <c r="G75" s="8"/>
      <c r="H75" s="8"/>
      <c r="I75" s="8"/>
      <c r="J75" s="129" t="n">
        <f aca="false">SUM(E75:I75)</f>
        <v>0</v>
      </c>
    </row>
    <row r="76" customFormat="false" ht="14.25" hidden="false" customHeight="false" outlineLevel="0" collapsed="false">
      <c r="B76" s="27"/>
      <c r="C76" s="131"/>
      <c r="D76" s="20"/>
      <c r="E76" s="8"/>
      <c r="F76" s="8"/>
      <c r="G76" s="8"/>
      <c r="H76" s="8"/>
      <c r="I76" s="8"/>
      <c r="J76" s="129" t="n">
        <f aca="false">SUM(E76:I76)</f>
        <v>0</v>
      </c>
    </row>
    <row r="77" customFormat="false" ht="14.25" hidden="false" customHeight="false" outlineLevel="0" collapsed="false">
      <c r="B77" s="27"/>
      <c r="C77" s="132"/>
      <c r="D77" s="20"/>
      <c r="E77" s="8"/>
      <c r="F77" s="8"/>
      <c r="G77" s="8"/>
      <c r="H77" s="8"/>
      <c r="I77" s="8"/>
      <c r="J77" s="129" t="n">
        <f aca="false">SUM(E77:I77)</f>
        <v>0</v>
      </c>
    </row>
    <row r="78" customFormat="false" ht="14.25" hidden="false" customHeight="true" outlineLevel="0" collapsed="false">
      <c r="B78" s="27"/>
      <c r="C78" s="130" t="s">
        <v>213</v>
      </c>
      <c r="D78" s="20"/>
      <c r="E78" s="8"/>
      <c r="F78" s="8"/>
      <c r="G78" s="8"/>
      <c r="H78" s="8"/>
      <c r="I78" s="8"/>
      <c r="J78" s="129" t="n">
        <f aca="false">SUM(E78:I78)</f>
        <v>0</v>
      </c>
    </row>
    <row r="79" customFormat="false" ht="14.25" hidden="false" customHeight="false" outlineLevel="0" collapsed="false">
      <c r="B79" s="27"/>
      <c r="C79" s="131"/>
      <c r="D79" s="20"/>
      <c r="E79" s="8"/>
      <c r="F79" s="8"/>
      <c r="G79" s="8"/>
      <c r="H79" s="8"/>
      <c r="I79" s="8"/>
      <c r="J79" s="129" t="n">
        <f aca="false">SUM(E79:I79)</f>
        <v>0</v>
      </c>
    </row>
    <row r="80" customFormat="false" ht="14.25" hidden="false" customHeight="false" outlineLevel="0" collapsed="false">
      <c r="B80" s="27"/>
      <c r="C80" s="132"/>
      <c r="D80" s="20"/>
      <c r="E80" s="8"/>
      <c r="F80" s="8"/>
      <c r="G80" s="8"/>
      <c r="H80" s="8"/>
      <c r="I80" s="8"/>
      <c r="J80" s="129" t="n">
        <f aca="false">SUM(E80:I80)</f>
        <v>0</v>
      </c>
    </row>
    <row r="81" customFormat="false" ht="14.25" hidden="false" customHeight="true" outlineLevel="0" collapsed="false">
      <c r="B81" s="27"/>
      <c r="C81" s="130" t="s">
        <v>213</v>
      </c>
      <c r="D81" s="20"/>
      <c r="E81" s="8"/>
      <c r="F81" s="8"/>
      <c r="G81" s="8"/>
      <c r="H81" s="8"/>
      <c r="I81" s="8"/>
      <c r="J81" s="129" t="n">
        <f aca="false">SUM(E81:I81)</f>
        <v>0</v>
      </c>
    </row>
    <row r="82" customFormat="false" ht="14.25" hidden="false" customHeight="false" outlineLevel="0" collapsed="false">
      <c r="B82" s="27"/>
      <c r="C82" s="131"/>
      <c r="D82" s="20"/>
      <c r="E82" s="8"/>
      <c r="F82" s="8"/>
      <c r="G82" s="8"/>
      <c r="H82" s="8"/>
      <c r="I82" s="8"/>
      <c r="J82" s="129" t="n">
        <f aca="false">SUM(E82:I82)</f>
        <v>0</v>
      </c>
    </row>
    <row r="83" customFormat="false" ht="14.25" hidden="false" customHeight="false" outlineLevel="0" collapsed="false">
      <c r="B83" s="27"/>
      <c r="C83" s="132"/>
      <c r="D83" s="20"/>
      <c r="E83" s="8"/>
      <c r="F83" s="8"/>
      <c r="G83" s="8"/>
      <c r="H83" s="8"/>
      <c r="I83" s="8"/>
      <c r="J83" s="129" t="n">
        <f aca="false">SUM(E83:I83)</f>
        <v>0</v>
      </c>
    </row>
    <row r="84" customFormat="false" ht="16.4" hidden="false" customHeight="false" outlineLevel="0" collapsed="false">
      <c r="B84" s="27"/>
      <c r="C84" s="130" t="s">
        <v>213</v>
      </c>
      <c r="D84" s="20"/>
      <c r="E84" s="8"/>
      <c r="F84" s="8"/>
      <c r="G84" s="8"/>
      <c r="H84" s="8"/>
      <c r="I84" s="8"/>
      <c r="J84" s="129" t="n">
        <f aca="false">SUM(E84:I84)</f>
        <v>0</v>
      </c>
    </row>
    <row r="85" customFormat="false" ht="14.25" hidden="false" customHeight="false" outlineLevel="0" collapsed="false">
      <c r="B85" s="27"/>
      <c r="C85" s="131"/>
      <c r="D85" s="20"/>
      <c r="E85" s="8"/>
      <c r="F85" s="8"/>
      <c r="G85" s="8"/>
      <c r="H85" s="8"/>
      <c r="I85" s="8"/>
      <c r="J85" s="129" t="n">
        <f aca="false">SUM(E85:I85)</f>
        <v>0</v>
      </c>
    </row>
    <row r="86" customFormat="false" ht="14.25" hidden="false" customHeight="false" outlineLevel="0" collapsed="false">
      <c r="B86" s="27"/>
      <c r="C86" s="132"/>
      <c r="D86" s="20"/>
      <c r="E86" s="8"/>
      <c r="F86" s="8"/>
      <c r="G86" s="8"/>
      <c r="H86" s="8"/>
      <c r="I86" s="8"/>
      <c r="J86" s="129" t="n">
        <f aca="false">SUM(E86:I86)</f>
        <v>0</v>
      </c>
    </row>
    <row r="87" customFormat="false" ht="14.25" hidden="false" customHeight="false" outlineLevel="0" collapsed="false">
      <c r="B87" s="20" t="s">
        <v>220</v>
      </c>
      <c r="C87" s="20"/>
      <c r="D87" s="20"/>
      <c r="E87" s="133" t="n">
        <f aca="false">SUM(E66:E86)</f>
        <v>900</v>
      </c>
      <c r="F87" s="133" t="n">
        <f aca="false">SUM(F66:F86)</f>
        <v>1080</v>
      </c>
      <c r="G87" s="133" t="n">
        <f aca="false">SUM(G66:G86)</f>
        <v>900</v>
      </c>
      <c r="H87" s="133" t="n">
        <f aca="false">SUM(H66:H86)</f>
        <v>0</v>
      </c>
      <c r="I87" s="133" t="n">
        <f aca="false">SUM(I66:I86)</f>
        <v>0</v>
      </c>
      <c r="J87" s="134" t="n">
        <f aca="false">SUM(E87:I87)</f>
        <v>2880</v>
      </c>
    </row>
    <row r="88" customFormat="false" ht="14.25" hidden="false" customHeight="false" outlineLevel="0" collapsed="false">
      <c r="B88" s="20" t="s">
        <v>221</v>
      </c>
      <c r="C88" s="20"/>
      <c r="D88" s="20"/>
      <c r="E88" s="133" t="n">
        <f aca="false">SUM(E66:E86)*$C$14/2</f>
        <v>22500</v>
      </c>
      <c r="F88" s="133" t="n">
        <f aca="false">SUM(F66:F86)*$C$15</f>
        <v>108000</v>
      </c>
      <c r="G88" s="133" t="n">
        <f aca="false">SUM(G66:G86)*$C$16</f>
        <v>450000</v>
      </c>
      <c r="H88" s="133" t="n">
        <f aca="false">SUM(H66:H86)</f>
        <v>0</v>
      </c>
      <c r="I88" s="133" t="n">
        <f aca="false">SUM(I66:I86)</f>
        <v>0</v>
      </c>
      <c r="J88" s="134" t="n">
        <f aca="false">SUM(E88:I88)</f>
        <v>580500</v>
      </c>
    </row>
    <row r="89" customFormat="false" ht="14.25" hidden="false" customHeight="false" outlineLevel="0" collapsed="false">
      <c r="B89" s="31" t="s">
        <v>222</v>
      </c>
      <c r="C89" s="20"/>
      <c r="D89" s="20"/>
      <c r="E89" s="33" t="n">
        <f aca="false">E41+E64+E87</f>
        <v>2700</v>
      </c>
      <c r="F89" s="33" t="n">
        <f aca="false">F41+F64+F87</f>
        <v>3240</v>
      </c>
      <c r="G89" s="33" t="n">
        <f aca="false">G41+G64+G87</f>
        <v>2700</v>
      </c>
      <c r="H89" s="33" t="n">
        <f aca="false">H41+H64+H87</f>
        <v>0</v>
      </c>
      <c r="I89" s="33" t="n">
        <f aca="false">I41+I64+I87</f>
        <v>0</v>
      </c>
      <c r="J89" s="33" t="n">
        <f aca="false">J41+J64+J87</f>
        <v>8640</v>
      </c>
    </row>
    <row r="90" customFormat="false" ht="15.75" hidden="false" customHeight="false" outlineLevel="0" collapsed="false">
      <c r="B90" s="31" t="s">
        <v>235</v>
      </c>
      <c r="C90" s="31"/>
      <c r="D90" s="31"/>
      <c r="E90" s="33" t="n">
        <f aca="false">E42+E65+E88</f>
        <v>67500</v>
      </c>
      <c r="F90" s="33" t="n">
        <f aca="false">F42+F65+F88</f>
        <v>324000</v>
      </c>
      <c r="G90" s="33" t="n">
        <f aca="false">G42+G65+G88</f>
        <v>1350000</v>
      </c>
      <c r="H90" s="33" t="n">
        <f aca="false">H42+H65+H88</f>
        <v>0</v>
      </c>
      <c r="I90" s="33" t="n">
        <f aca="false">I42+I65+I88</f>
        <v>0</v>
      </c>
      <c r="J90" s="135" t="n">
        <f aca="false">J42+J65+J88</f>
        <v>1741500</v>
      </c>
    </row>
    <row r="91" customFormat="false" ht="14.25" hidden="false" customHeight="false" outlineLevel="0" collapsed="false">
      <c r="B91" s="136"/>
    </row>
    <row r="92" customFormat="false" ht="14.25" hidden="false" customHeight="false" outlineLevel="0" collapsed="false">
      <c r="B92" s="137"/>
      <c r="C92" s="138"/>
      <c r="D92" s="139"/>
      <c r="E92" s="139"/>
      <c r="F92" s="139"/>
      <c r="G92" s="139"/>
      <c r="H92" s="140"/>
    </row>
    <row r="93" customFormat="false" ht="15" hidden="false" customHeight="true" outlineLevel="0" collapsed="false">
      <c r="B93" s="141" t="s">
        <v>236</v>
      </c>
      <c r="C93" s="83" t="s">
        <v>225</v>
      </c>
      <c r="D93" s="83"/>
      <c r="E93" s="83"/>
      <c r="F93" s="83"/>
      <c r="G93" s="83"/>
      <c r="H93" s="83"/>
    </row>
    <row r="94" customFormat="false" ht="14.25" hidden="false" customHeight="true" outlineLevel="0" collapsed="false">
      <c r="B94" s="142" t="s">
        <v>2</v>
      </c>
      <c r="C94" s="5" t="s">
        <v>4</v>
      </c>
      <c r="D94" s="5" t="s">
        <v>5</v>
      </c>
      <c r="E94" s="5" t="s">
        <v>6</v>
      </c>
      <c r="F94" s="5" t="s">
        <v>7</v>
      </c>
      <c r="G94" s="5" t="s">
        <v>8</v>
      </c>
      <c r="H94" s="143" t="s">
        <v>36</v>
      </c>
    </row>
    <row r="95" customFormat="false" ht="14.25" hidden="false" customHeight="false" outlineLevel="0" collapsed="false">
      <c r="B95" s="144" t="s">
        <v>167</v>
      </c>
      <c r="C95" s="8" t="n">
        <f aca="false">D4*$I4</f>
        <v>5</v>
      </c>
      <c r="D95" s="8" t="n">
        <f aca="false">E4*$I4</f>
        <v>0</v>
      </c>
      <c r="E95" s="8" t="n">
        <f aca="false">F4*$I4</f>
        <v>0</v>
      </c>
      <c r="F95" s="8" t="n">
        <f aca="false">G4*$I4</f>
        <v>5</v>
      </c>
      <c r="G95" s="8" t="n">
        <f aca="false">H4*$I4</f>
        <v>0</v>
      </c>
      <c r="H95" s="145" t="n">
        <f aca="false">SUM(C95:G95)</f>
        <v>10</v>
      </c>
    </row>
    <row r="96" customFormat="false" ht="14.25" hidden="false" customHeight="false" outlineLevel="0" collapsed="false">
      <c r="B96" s="144" t="s">
        <v>168</v>
      </c>
      <c r="C96" s="8" t="n">
        <f aca="false">D5*$I5</f>
        <v>8</v>
      </c>
      <c r="D96" s="8" t="n">
        <f aca="false">E5*$I5</f>
        <v>0</v>
      </c>
      <c r="E96" s="8" t="n">
        <f aca="false">F5*$I5</f>
        <v>0</v>
      </c>
      <c r="F96" s="8" t="n">
        <f aca="false">G5*$I5</f>
        <v>8</v>
      </c>
      <c r="G96" s="8" t="n">
        <f aca="false">H5*$I5</f>
        <v>0</v>
      </c>
      <c r="H96" s="145" t="n">
        <f aca="false">SUM(C96:G96)</f>
        <v>16</v>
      </c>
    </row>
    <row r="97" customFormat="false" ht="14.25" hidden="false" customHeight="false" outlineLevel="0" collapsed="false">
      <c r="B97" s="144" t="s">
        <v>169</v>
      </c>
      <c r="C97" s="8" t="n">
        <f aca="false">D6*$I6</f>
        <v>9</v>
      </c>
      <c r="D97" s="8" t="n">
        <f aca="false">E6*$I6</f>
        <v>0</v>
      </c>
      <c r="E97" s="8" t="n">
        <f aca="false">F6*$I6</f>
        <v>0</v>
      </c>
      <c r="F97" s="8" t="n">
        <f aca="false">G6*$I6</f>
        <v>9</v>
      </c>
      <c r="G97" s="8" t="n">
        <f aca="false">H6*$I6</f>
        <v>0</v>
      </c>
      <c r="H97" s="145" t="n">
        <f aca="false">SUM(C97:G97)</f>
        <v>18</v>
      </c>
    </row>
    <row r="98" customFormat="false" ht="14.25" hidden="false" customHeight="false" outlineLevel="0" collapsed="false">
      <c r="B98" s="144" t="s">
        <v>170</v>
      </c>
      <c r="C98" s="8" t="n">
        <f aca="false">D7*$I7</f>
        <v>25</v>
      </c>
      <c r="D98" s="8" t="n">
        <f aca="false">E7*$I7</f>
        <v>0</v>
      </c>
      <c r="E98" s="8" t="n">
        <f aca="false">F7*$I7</f>
        <v>0</v>
      </c>
      <c r="F98" s="8" t="n">
        <f aca="false">G7*$I7</f>
        <v>25</v>
      </c>
      <c r="G98" s="8" t="n">
        <f aca="false">H7*$I7</f>
        <v>0</v>
      </c>
      <c r="H98" s="145" t="n">
        <f aca="false">SUM(C98:G98)</f>
        <v>50</v>
      </c>
    </row>
    <row r="99" customFormat="false" ht="14.25" hidden="false" customHeight="false" outlineLevel="0" collapsed="false">
      <c r="B99" s="144" t="s">
        <v>171</v>
      </c>
      <c r="C99" s="8" t="n">
        <f aca="false">D8*$I8</f>
        <v>10</v>
      </c>
      <c r="D99" s="8" t="n">
        <f aca="false">E8*$I8</f>
        <v>0</v>
      </c>
      <c r="E99" s="8" t="n">
        <f aca="false">F8*$I8</f>
        <v>0</v>
      </c>
      <c r="F99" s="8" t="n">
        <f aca="false">G8*$I8</f>
        <v>10</v>
      </c>
      <c r="G99" s="8" t="n">
        <f aca="false">H8*$I8</f>
        <v>0</v>
      </c>
      <c r="H99" s="145" t="n">
        <f aca="false">SUM(C99:G99)</f>
        <v>20</v>
      </c>
    </row>
    <row r="100" customFormat="false" ht="14.25" hidden="false" customHeight="false" outlineLevel="0" collapsed="false">
      <c r="B100" s="144" t="s">
        <v>172</v>
      </c>
      <c r="C100" s="8" t="n">
        <f aca="false">D9*$I9</f>
        <v>50</v>
      </c>
      <c r="D100" s="8" t="n">
        <f aca="false">E9*$I9</f>
        <v>0</v>
      </c>
      <c r="E100" s="8" t="n">
        <f aca="false">F9*$I9</f>
        <v>0</v>
      </c>
      <c r="F100" s="8" t="n">
        <f aca="false">G9*$I9</f>
        <v>50</v>
      </c>
      <c r="G100" s="8" t="n">
        <f aca="false">H9*$I9</f>
        <v>0</v>
      </c>
      <c r="H100" s="145" t="n">
        <f aca="false">SUM(C100:G100)</f>
        <v>100</v>
      </c>
    </row>
    <row r="101" customFormat="false" ht="16.4" hidden="false" customHeight="false" outlineLevel="0" collapsed="false">
      <c r="B101" s="144" t="s">
        <v>234</v>
      </c>
      <c r="C101" s="8" t="n">
        <f aca="false">D10*$I10</f>
        <v>0</v>
      </c>
      <c r="D101" s="8" t="n">
        <f aca="false">E10*$I10</f>
        <v>0</v>
      </c>
      <c r="E101" s="8" t="n">
        <f aca="false">F10*$I10</f>
        <v>0</v>
      </c>
      <c r="F101" s="8" t="n">
        <f aca="false">G10*$I10</f>
        <v>500</v>
      </c>
      <c r="G101" s="8" t="n">
        <f aca="false">H10*$I10</f>
        <v>0</v>
      </c>
      <c r="H101" s="145" t="n">
        <f aca="false">SUM(C101:G101)</f>
        <v>500</v>
      </c>
    </row>
    <row r="102" customFormat="false" ht="14.25" hidden="false" customHeight="false" outlineLevel="0" collapsed="false">
      <c r="B102" s="144" t="s">
        <v>24</v>
      </c>
      <c r="C102" s="13" t="n">
        <f aca="false">ROUNDDOWN(SUM(C95:C101),10)</f>
        <v>107</v>
      </c>
      <c r="D102" s="13" t="n">
        <f aca="false">SUM(D95:D101)</f>
        <v>0</v>
      </c>
      <c r="E102" s="13" t="n">
        <f aca="false">SUM(E95:E101)</f>
        <v>0</v>
      </c>
      <c r="F102" s="13" t="n">
        <f aca="false">SUM(F95:F101)</f>
        <v>607</v>
      </c>
      <c r="G102" s="13" t="n">
        <f aca="false">SUM(G95:G101)</f>
        <v>0</v>
      </c>
      <c r="H102" s="146" t="n">
        <f aca="false">SUM(H95:H101)</f>
        <v>714</v>
      </c>
    </row>
    <row r="103" customFormat="false" ht="14.25" hidden="false" customHeight="false" outlineLevel="0" collapsed="false">
      <c r="B103" s="144" t="s">
        <v>25</v>
      </c>
      <c r="C103" s="127" t="n">
        <f aca="false">C102</f>
        <v>107</v>
      </c>
      <c r="D103" s="127" t="n">
        <f aca="false">D102</f>
        <v>0</v>
      </c>
      <c r="E103" s="127" t="n">
        <f aca="false">E102</f>
        <v>0</v>
      </c>
      <c r="F103" s="127" t="n">
        <f aca="false">F102</f>
        <v>607</v>
      </c>
      <c r="G103" s="127" t="n">
        <f aca="false">G102</f>
        <v>0</v>
      </c>
      <c r="H103" s="147"/>
    </row>
    <row r="104" customFormat="false" ht="14.25" hidden="false" customHeight="false" outlineLevel="0" collapsed="false">
      <c r="B104" s="141"/>
      <c r="C104" s="148"/>
      <c r="D104" s="148"/>
      <c r="E104" s="148"/>
      <c r="F104" s="148"/>
      <c r="G104" s="148"/>
      <c r="H104" s="149"/>
    </row>
    <row r="105" customFormat="false" ht="14.25" hidden="false" customHeight="false" outlineLevel="0" collapsed="false">
      <c r="B105" s="144" t="s">
        <v>201</v>
      </c>
      <c r="C105" s="40" t="s">
        <v>203</v>
      </c>
      <c r="D105" s="40" t="s">
        <v>204</v>
      </c>
      <c r="E105" s="40" t="s">
        <v>205</v>
      </c>
      <c r="F105" s="148"/>
      <c r="G105" s="148"/>
      <c r="H105" s="149"/>
    </row>
    <row r="106" customFormat="false" ht="14.25" hidden="false" customHeight="false" outlineLevel="0" collapsed="false">
      <c r="B106" s="150" t="s">
        <v>226</v>
      </c>
      <c r="C106" s="151" t="n">
        <f aca="false">_xlfn.FLOOR.MATH($C103/2,10)</f>
        <v>50</v>
      </c>
      <c r="D106" s="151" t="n">
        <f aca="false">_xlfn.FLOOR.MATH($C103,10)</f>
        <v>100</v>
      </c>
      <c r="E106" s="151" t="n">
        <f aca="false">_xlfn.FLOOR.MATH($C103,10)*5</f>
        <v>500</v>
      </c>
      <c r="F106" s="118"/>
      <c r="G106" s="118"/>
      <c r="H106" s="152"/>
    </row>
    <row r="107" customFormat="false" ht="14.25" hidden="false" customHeight="false" outlineLevel="0" collapsed="false">
      <c r="B107" s="141"/>
      <c r="C107" s="148"/>
      <c r="D107" s="148"/>
      <c r="E107" s="148"/>
      <c r="F107" s="148"/>
      <c r="G107" s="148"/>
      <c r="H107" s="149"/>
    </row>
    <row r="108" customFormat="false" ht="14.25" hidden="false" customHeight="false" outlineLevel="0" collapsed="false">
      <c r="B108" s="153" t="s">
        <v>206</v>
      </c>
      <c r="C108" s="154" t="s">
        <v>207</v>
      </c>
      <c r="D108" s="154"/>
      <c r="E108" s="154"/>
      <c r="F108" s="154"/>
      <c r="G108" s="154"/>
      <c r="H108" s="154"/>
    </row>
    <row r="109" customFormat="false" ht="14.25" hidden="false" customHeight="false" outlineLevel="0" collapsed="false">
      <c r="B109" s="155" t="s">
        <v>31</v>
      </c>
      <c r="C109" s="20" t="s">
        <v>203</v>
      </c>
      <c r="D109" s="20" t="s">
        <v>204</v>
      </c>
      <c r="E109" s="20" t="s">
        <v>205</v>
      </c>
      <c r="F109" s="20" t="s">
        <v>8</v>
      </c>
      <c r="G109" s="20" t="s">
        <v>8</v>
      </c>
      <c r="H109" s="156" t="s">
        <v>36</v>
      </c>
    </row>
    <row r="110" customFormat="false" ht="14.25" hidden="false" customHeight="false" outlineLevel="0" collapsed="false">
      <c r="B110" s="155" t="s">
        <v>214</v>
      </c>
      <c r="C110" s="133" t="n">
        <f aca="false">E41</f>
        <v>900</v>
      </c>
      <c r="D110" s="133" t="n">
        <f aca="false">F41</f>
        <v>1080</v>
      </c>
      <c r="E110" s="133" t="n">
        <f aca="false">G41</f>
        <v>900</v>
      </c>
      <c r="F110" s="133" t="n">
        <f aca="false">H41</f>
        <v>0</v>
      </c>
      <c r="G110" s="133" t="n">
        <f aca="false">I41</f>
        <v>0</v>
      </c>
      <c r="H110" s="157" t="n">
        <f aca="false">J41</f>
        <v>2880</v>
      </c>
    </row>
    <row r="111" customFormat="false" ht="14.25" hidden="false" customHeight="false" outlineLevel="0" collapsed="false">
      <c r="B111" s="155" t="s">
        <v>215</v>
      </c>
      <c r="C111" s="133" t="n">
        <f aca="false">E42</f>
        <v>22500</v>
      </c>
      <c r="D111" s="133" t="n">
        <f aca="false">F42</f>
        <v>108000</v>
      </c>
      <c r="E111" s="133" t="n">
        <f aca="false">G42</f>
        <v>450000</v>
      </c>
      <c r="F111" s="133" t="n">
        <f aca="false">H42</f>
        <v>0</v>
      </c>
      <c r="G111" s="133" t="n">
        <f aca="false">I42</f>
        <v>0</v>
      </c>
      <c r="H111" s="157" t="n">
        <f aca="false">J42</f>
        <v>580500</v>
      </c>
    </row>
    <row r="112" customFormat="false" ht="14.25" hidden="false" customHeight="false" outlineLevel="0" collapsed="false">
      <c r="B112" s="155" t="s">
        <v>217</v>
      </c>
      <c r="C112" s="133" t="n">
        <f aca="false">E64</f>
        <v>900</v>
      </c>
      <c r="D112" s="133" t="n">
        <f aca="false">F64</f>
        <v>1080</v>
      </c>
      <c r="E112" s="133" t="n">
        <f aca="false">G64</f>
        <v>900</v>
      </c>
      <c r="F112" s="133" t="n">
        <f aca="false">H64</f>
        <v>0</v>
      </c>
      <c r="G112" s="133" t="n">
        <f aca="false">I64</f>
        <v>0</v>
      </c>
      <c r="H112" s="157" t="n">
        <f aca="false">SUM(C112:G112)</f>
        <v>2880</v>
      </c>
    </row>
    <row r="113" customFormat="false" ht="14.25" hidden="false" customHeight="false" outlineLevel="0" collapsed="false">
      <c r="B113" s="155" t="s">
        <v>218</v>
      </c>
      <c r="C113" s="133" t="n">
        <f aca="false">E65</f>
        <v>22500</v>
      </c>
      <c r="D113" s="133" t="n">
        <f aca="false">F65</f>
        <v>108000</v>
      </c>
      <c r="E113" s="133" t="n">
        <f aca="false">G65</f>
        <v>450000</v>
      </c>
      <c r="F113" s="133" t="n">
        <f aca="false">H65</f>
        <v>0</v>
      </c>
      <c r="G113" s="133" t="n">
        <f aca="false">I65</f>
        <v>0</v>
      </c>
      <c r="H113" s="157" t="n">
        <f aca="false">SUM(C113:G113)</f>
        <v>580500</v>
      </c>
    </row>
    <row r="114" customFormat="false" ht="14.25" hidden="false" customHeight="false" outlineLevel="0" collapsed="false">
      <c r="B114" s="155" t="s">
        <v>220</v>
      </c>
      <c r="C114" s="133" t="n">
        <f aca="false">E87</f>
        <v>900</v>
      </c>
      <c r="D114" s="133" t="n">
        <f aca="false">F87</f>
        <v>1080</v>
      </c>
      <c r="E114" s="133" t="n">
        <f aca="false">G87</f>
        <v>900</v>
      </c>
      <c r="F114" s="133" t="n">
        <f aca="false">H87</f>
        <v>0</v>
      </c>
      <c r="G114" s="133" t="n">
        <f aca="false">I87</f>
        <v>0</v>
      </c>
      <c r="H114" s="157" t="n">
        <f aca="false">SUM(C114:G114)</f>
        <v>2880</v>
      </c>
    </row>
    <row r="115" customFormat="false" ht="14.25" hidden="false" customHeight="false" outlineLevel="0" collapsed="false">
      <c r="B115" s="155" t="s">
        <v>221</v>
      </c>
      <c r="C115" s="133" t="n">
        <f aca="false">E88</f>
        <v>22500</v>
      </c>
      <c r="D115" s="133" t="n">
        <f aca="false">F88</f>
        <v>108000</v>
      </c>
      <c r="E115" s="133" t="n">
        <f aca="false">G88</f>
        <v>450000</v>
      </c>
      <c r="F115" s="133" t="n">
        <f aca="false">H88</f>
        <v>0</v>
      </c>
      <c r="G115" s="133" t="n">
        <f aca="false">I88</f>
        <v>0</v>
      </c>
      <c r="H115" s="157" t="n">
        <f aca="false">SUM(C115:G115)</f>
        <v>580500</v>
      </c>
    </row>
    <row r="116" customFormat="false" ht="16.4" hidden="false" customHeight="false" outlineLevel="0" collapsed="false">
      <c r="B116" s="158" t="s">
        <v>237</v>
      </c>
      <c r="C116" s="33" t="n">
        <f aca="false">C110+C112+C114</f>
        <v>2700</v>
      </c>
      <c r="D116" s="33" t="n">
        <f aca="false">D110+D112+D114</f>
        <v>3240</v>
      </c>
      <c r="E116" s="33" t="n">
        <f aca="false">E110+E112+E114</f>
        <v>2700</v>
      </c>
      <c r="F116" s="33" t="n">
        <f aca="false">F110+F112+F114</f>
        <v>0</v>
      </c>
      <c r="G116" s="33" t="n">
        <f aca="false">G110+G112+G114</f>
        <v>0</v>
      </c>
      <c r="H116" s="159" t="n">
        <f aca="false">H110+H112+H114</f>
        <v>8640</v>
      </c>
    </row>
    <row r="117" customFormat="false" ht="16.4" hidden="false" customHeight="false" outlineLevel="0" collapsed="false">
      <c r="B117" s="160" t="s">
        <v>235</v>
      </c>
      <c r="C117" s="161" t="n">
        <f aca="false">C111+C113+C115</f>
        <v>67500</v>
      </c>
      <c r="D117" s="161" t="n">
        <f aca="false">D111+D113+D115</f>
        <v>324000</v>
      </c>
      <c r="E117" s="161" t="n">
        <f aca="false">E111+E113+E115</f>
        <v>1350000</v>
      </c>
      <c r="F117" s="161" t="n">
        <f aca="false">F111+F113+F115</f>
        <v>0</v>
      </c>
      <c r="G117" s="161" t="n">
        <f aca="false">G111+G113+G115</f>
        <v>0</v>
      </c>
      <c r="H117" s="162" t="n">
        <f aca="false">H111+H113+H115</f>
        <v>1741500</v>
      </c>
    </row>
  </sheetData>
  <mergeCells count="18">
    <mergeCell ref="B1:J1"/>
    <mergeCell ref="D2:H2"/>
    <mergeCell ref="J2:O2"/>
    <mergeCell ref="E18:J18"/>
    <mergeCell ref="B20:B40"/>
    <mergeCell ref="C20:C22"/>
    <mergeCell ref="C23:C25"/>
    <mergeCell ref="C26:C28"/>
    <mergeCell ref="B43:B63"/>
    <mergeCell ref="C43:C45"/>
    <mergeCell ref="C46:C48"/>
    <mergeCell ref="C49:C51"/>
    <mergeCell ref="B66:B86"/>
    <mergeCell ref="C66:C68"/>
    <mergeCell ref="C69:C71"/>
    <mergeCell ref="C72:C74"/>
    <mergeCell ref="C93:H93"/>
    <mergeCell ref="C108:H10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O5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8" activeCellId="0" sqref="C8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32.82"/>
    <col collapsed="false" customWidth="true" hidden="false" outlineLevel="0" max="3" min="3" style="0" width="53.45"/>
    <col collapsed="false" customWidth="true" hidden="false" outlineLevel="0" max="4" min="4" style="0" width="62.09"/>
    <col collapsed="false" customWidth="true" hidden="false" outlineLevel="0" max="5" min="5" style="0" width="32.18"/>
    <col collapsed="false" customWidth="true" hidden="false" outlineLevel="0" max="6" min="6" style="0" width="23.64"/>
    <col collapsed="false" customWidth="true" hidden="false" outlineLevel="0" max="7" min="7" style="0" width="10.27"/>
    <col collapsed="false" customWidth="true" hidden="false" outlineLevel="0" max="8" min="8" style="0" width="17.73"/>
  </cols>
  <sheetData>
    <row r="1" customFormat="false" ht="14.25" hidden="false" customHeight="false" outlineLevel="0" collapsed="false">
      <c r="B1" s="24" t="s">
        <v>134</v>
      </c>
      <c r="C1" s="163"/>
      <c r="D1" s="164"/>
      <c r="E1" s="164"/>
    </row>
    <row r="2" customFormat="false" ht="14.25" hidden="false" customHeight="false" outlineLevel="0" collapsed="false">
      <c r="B2" s="24"/>
      <c r="C2" s="165" t="s">
        <v>135</v>
      </c>
      <c r="D2" s="40"/>
      <c r="E2" s="40" t="s">
        <v>136</v>
      </c>
    </row>
    <row r="3" customFormat="false" ht="14.25" hidden="false" customHeight="false" outlineLevel="0" collapsed="false">
      <c r="B3" s="24"/>
      <c r="C3" s="165" t="s">
        <v>137</v>
      </c>
      <c r="D3" s="40"/>
      <c r="E3" s="40" t="s">
        <v>138</v>
      </c>
    </row>
    <row r="4" customFormat="false" ht="16.4" hidden="false" customHeight="false" outlineLevel="0" collapsed="false">
      <c r="B4" s="24"/>
      <c r="C4" s="166" t="s">
        <v>238</v>
      </c>
      <c r="D4" s="40"/>
      <c r="E4" s="40" t="s">
        <v>140</v>
      </c>
    </row>
    <row r="5" customFormat="false" ht="31.3" hidden="false" customHeight="false" outlineLevel="0" collapsed="false">
      <c r="B5" s="24"/>
      <c r="C5" s="166" t="s">
        <v>141</v>
      </c>
      <c r="D5" s="40"/>
      <c r="E5" s="40" t="s">
        <v>142</v>
      </c>
    </row>
    <row r="6" customFormat="false" ht="16.4" hidden="false" customHeight="false" outlineLevel="0" collapsed="false">
      <c r="B6" s="24"/>
      <c r="C6" s="166" t="s">
        <v>143</v>
      </c>
      <c r="D6" s="40"/>
      <c r="E6" s="167" t="s">
        <v>144</v>
      </c>
    </row>
    <row r="7" customFormat="false" ht="16.4" hidden="false" customHeight="false" outlineLevel="0" collapsed="false">
      <c r="B7" s="24"/>
      <c r="C7" s="166" t="s">
        <v>145</v>
      </c>
      <c r="D7" s="40"/>
      <c r="E7" s="167" t="s">
        <v>146</v>
      </c>
    </row>
    <row r="8" customFormat="false" ht="16.4" hidden="false" customHeight="false" outlineLevel="0" collapsed="false">
      <c r="B8" s="24"/>
      <c r="C8" s="166" t="s">
        <v>147</v>
      </c>
      <c r="D8" s="40"/>
      <c r="E8" s="167" t="s">
        <v>148</v>
      </c>
    </row>
    <row r="9" customFormat="false" ht="14.25" hidden="false" customHeight="false" outlineLevel="0" collapsed="false">
      <c r="B9" s="24"/>
      <c r="D9" s="38"/>
      <c r="E9" s="38" t="s">
        <v>149</v>
      </c>
    </row>
    <row r="10" customFormat="false" ht="16.4" hidden="false" customHeight="true" outlineLevel="0" collapsed="false">
      <c r="B10" s="24"/>
      <c r="C10" s="168" t="s">
        <v>81</v>
      </c>
      <c r="D10" s="40" t="s">
        <v>4</v>
      </c>
      <c r="E10" s="167" t="s">
        <v>150</v>
      </c>
    </row>
    <row r="11" customFormat="false" ht="16.4" hidden="false" customHeight="false" outlineLevel="0" collapsed="false">
      <c r="B11" s="24"/>
      <c r="C11" s="168"/>
      <c r="D11" s="40" t="s">
        <v>5</v>
      </c>
      <c r="E11" s="167" t="s">
        <v>150</v>
      </c>
    </row>
    <row r="12" customFormat="false" ht="16.4" hidden="false" customHeight="false" outlineLevel="0" collapsed="false">
      <c r="B12" s="24"/>
      <c r="C12" s="168"/>
      <c r="D12" s="40" t="s">
        <v>6</v>
      </c>
      <c r="E12" s="167" t="s">
        <v>150</v>
      </c>
    </row>
    <row r="13" customFormat="false" ht="16.4" hidden="false" customHeight="false" outlineLevel="0" collapsed="false">
      <c r="B13" s="24"/>
      <c r="C13" s="168"/>
      <c r="D13" s="40" t="s">
        <v>7</v>
      </c>
      <c r="E13" s="167" t="s">
        <v>150</v>
      </c>
    </row>
    <row r="14" customFormat="false" ht="16.4" hidden="false" customHeight="false" outlineLevel="0" collapsed="false">
      <c r="B14" s="24"/>
      <c r="C14" s="168"/>
      <c r="D14" s="40" t="s">
        <v>8</v>
      </c>
      <c r="E14" s="167" t="s">
        <v>150</v>
      </c>
    </row>
    <row r="15" customFormat="false" ht="16.4" hidden="false" customHeight="false" outlineLevel="0" collapsed="false">
      <c r="B15" s="24"/>
      <c r="C15" s="168"/>
      <c r="D15" s="40" t="s">
        <v>36</v>
      </c>
      <c r="E15" s="167" t="s">
        <v>150</v>
      </c>
    </row>
    <row r="16" customFormat="false" ht="16.4" hidden="false" customHeight="true" outlineLevel="0" collapsed="false">
      <c r="B16" s="24"/>
      <c r="C16" s="169" t="s">
        <v>151</v>
      </c>
      <c r="D16" s="40" t="s">
        <v>152</v>
      </c>
      <c r="E16" s="167" t="s">
        <v>150</v>
      </c>
    </row>
    <row r="17" customFormat="false" ht="16.4" hidden="false" customHeight="false" outlineLevel="0" collapsed="false">
      <c r="B17" s="24"/>
      <c r="C17" s="169"/>
      <c r="D17" s="40" t="s">
        <v>153</v>
      </c>
      <c r="E17" s="167" t="s">
        <v>150</v>
      </c>
    </row>
    <row r="18" customFormat="false" ht="16.4" hidden="false" customHeight="false" outlineLevel="0" collapsed="false">
      <c r="B18" s="24"/>
      <c r="C18" s="169"/>
      <c r="D18" s="40" t="s">
        <v>154</v>
      </c>
      <c r="E18" s="167" t="s">
        <v>150</v>
      </c>
    </row>
    <row r="19" customFormat="false" ht="16.4" hidden="false" customHeight="false" outlineLevel="0" collapsed="false">
      <c r="B19" s="24"/>
      <c r="C19" s="169"/>
      <c r="D19" s="40" t="s">
        <v>155</v>
      </c>
      <c r="E19" s="167" t="s">
        <v>150</v>
      </c>
    </row>
    <row r="20" customFormat="false" ht="16.4" hidden="false" customHeight="false" outlineLevel="0" collapsed="false">
      <c r="B20" s="24"/>
      <c r="C20" s="169"/>
      <c r="D20" s="40" t="s">
        <v>156</v>
      </c>
      <c r="E20" s="167" t="s">
        <v>150</v>
      </c>
    </row>
    <row r="21" customFormat="false" ht="16.4" hidden="false" customHeight="false" outlineLevel="0" collapsed="false">
      <c r="B21" s="24"/>
      <c r="C21" s="169"/>
      <c r="D21" s="40" t="s">
        <v>157</v>
      </c>
      <c r="E21" s="167" t="s">
        <v>150</v>
      </c>
    </row>
    <row r="22" customFormat="false" ht="16.4" hidden="false" customHeight="false" outlineLevel="0" collapsed="false">
      <c r="B22" s="24"/>
      <c r="C22" s="169"/>
      <c r="D22" s="167" t="s">
        <v>158</v>
      </c>
      <c r="E22" s="167" t="s">
        <v>150</v>
      </c>
    </row>
    <row r="23" customFormat="false" ht="16.4" hidden="false" customHeight="false" outlineLevel="0" collapsed="false">
      <c r="B23" s="24"/>
      <c r="C23" s="169"/>
      <c r="D23" s="167" t="s">
        <v>159</v>
      </c>
      <c r="E23" s="167" t="s">
        <v>150</v>
      </c>
    </row>
    <row r="24" customFormat="false" ht="16.4" hidden="false" customHeight="false" outlineLevel="0" collapsed="false">
      <c r="B24" s="24"/>
      <c r="C24" s="169"/>
      <c r="D24" s="167" t="s">
        <v>160</v>
      </c>
      <c r="E24" s="167" t="s">
        <v>150</v>
      </c>
      <c r="F24" s="40" t="s">
        <v>161</v>
      </c>
    </row>
    <row r="25" customFormat="false" ht="16.4" hidden="false" customHeight="false" outlineLevel="0" collapsed="false">
      <c r="B25" s="24"/>
      <c r="C25" s="169"/>
      <c r="D25" s="40" t="s">
        <v>162</v>
      </c>
      <c r="E25" s="167" t="s">
        <v>150</v>
      </c>
    </row>
    <row r="26" customFormat="false" ht="14.25" hidden="false" customHeight="false" outlineLevel="0" collapsed="false">
      <c r="B26" s="24"/>
    </row>
    <row r="27" customFormat="false" ht="14.25" hidden="false" customHeight="false" outlineLevel="0" collapsed="false">
      <c r="B27" s="24"/>
      <c r="F27" s="44" t="s">
        <v>4</v>
      </c>
      <c r="G27" s="44"/>
      <c r="H27" s="44" t="s">
        <v>5</v>
      </c>
      <c r="I27" s="44"/>
      <c r="J27" s="44" t="s">
        <v>239</v>
      </c>
      <c r="K27" s="44"/>
      <c r="L27" s="44" t="s">
        <v>7</v>
      </c>
      <c r="M27" s="44"/>
      <c r="N27" s="44" t="s">
        <v>240</v>
      </c>
      <c r="O27" s="44"/>
    </row>
    <row r="28" customFormat="false" ht="14.25" hidden="false" customHeight="true" outlineLevel="0" collapsed="false">
      <c r="B28" s="24"/>
      <c r="C28" s="170" t="s">
        <v>163</v>
      </c>
      <c r="D28" s="171" t="s">
        <v>164</v>
      </c>
      <c r="E28" s="40" t="s">
        <v>165</v>
      </c>
      <c r="F28" s="40" t="s">
        <v>241</v>
      </c>
      <c r="G28" s="40" t="s">
        <v>1</v>
      </c>
      <c r="H28" s="40" t="s">
        <v>241</v>
      </c>
      <c r="I28" s="40" t="s">
        <v>1</v>
      </c>
      <c r="J28" s="40" t="s">
        <v>241</v>
      </c>
      <c r="K28" s="40" t="s">
        <v>1</v>
      </c>
      <c r="L28" s="40" t="s">
        <v>241</v>
      </c>
      <c r="M28" s="40" t="s">
        <v>1</v>
      </c>
      <c r="N28" s="40" t="s">
        <v>241</v>
      </c>
      <c r="O28" s="40" t="s">
        <v>1</v>
      </c>
    </row>
    <row r="29" customFormat="false" ht="14.25" hidden="false" customHeight="false" outlineLevel="0" collapsed="false">
      <c r="B29" s="24"/>
      <c r="C29" s="170"/>
      <c r="D29" s="40" t="s">
        <v>167</v>
      </c>
      <c r="E29" s="40" t="n">
        <v>1</v>
      </c>
      <c r="F29" s="40" t="n">
        <v>5</v>
      </c>
      <c r="G29" s="40" t="n">
        <f aca="false">E29*F29</f>
        <v>5</v>
      </c>
      <c r="H29" s="40"/>
      <c r="I29" s="40" t="n">
        <f aca="false">$E29*H29</f>
        <v>0</v>
      </c>
      <c r="J29" s="40"/>
      <c r="K29" s="40" t="n">
        <f aca="false">$E29*J29</f>
        <v>0</v>
      </c>
      <c r="L29" s="40" t="n">
        <v>5</v>
      </c>
      <c r="M29" s="40" t="n">
        <f aca="false">$E29*L29</f>
        <v>5</v>
      </c>
      <c r="N29" s="40" t="n">
        <v>5</v>
      </c>
      <c r="O29" s="40" t="n">
        <f aca="false">$E29*N29</f>
        <v>5</v>
      </c>
    </row>
    <row r="30" customFormat="false" ht="14.25" hidden="false" customHeight="false" outlineLevel="0" collapsed="false">
      <c r="B30" s="24"/>
      <c r="C30" s="170"/>
      <c r="D30" s="40" t="s">
        <v>168</v>
      </c>
      <c r="E30" s="40" t="n">
        <v>2</v>
      </c>
      <c r="F30" s="40" t="n">
        <v>4</v>
      </c>
      <c r="G30" s="40" t="n">
        <f aca="false">E30*F30</f>
        <v>8</v>
      </c>
      <c r="H30" s="40"/>
      <c r="I30" s="40" t="n">
        <f aca="false">$E30*H30</f>
        <v>0</v>
      </c>
      <c r="J30" s="40"/>
      <c r="K30" s="40" t="n">
        <f aca="false">$E30*J30</f>
        <v>0</v>
      </c>
      <c r="L30" s="40" t="n">
        <v>4</v>
      </c>
      <c r="M30" s="40" t="n">
        <f aca="false">$E30*L30</f>
        <v>8</v>
      </c>
      <c r="N30" s="40" t="n">
        <v>4</v>
      </c>
      <c r="O30" s="40" t="n">
        <f aca="false">$E30*N30</f>
        <v>8</v>
      </c>
    </row>
    <row r="31" customFormat="false" ht="14.25" hidden="false" customHeight="false" outlineLevel="0" collapsed="false">
      <c r="B31" s="24"/>
      <c r="C31" s="170"/>
      <c r="D31" s="40" t="s">
        <v>169</v>
      </c>
      <c r="E31" s="40" t="n">
        <v>3</v>
      </c>
      <c r="F31" s="40" t="n">
        <v>3</v>
      </c>
      <c r="G31" s="40" t="n">
        <f aca="false">E31*F31</f>
        <v>9</v>
      </c>
      <c r="H31" s="40"/>
      <c r="I31" s="40" t="n">
        <f aca="false">$E31*H31</f>
        <v>0</v>
      </c>
      <c r="J31" s="40"/>
      <c r="K31" s="40" t="n">
        <f aca="false">$E31*J31</f>
        <v>0</v>
      </c>
      <c r="L31" s="40" t="n">
        <v>3</v>
      </c>
      <c r="M31" s="40" t="n">
        <f aca="false">$E31*L31</f>
        <v>9</v>
      </c>
      <c r="N31" s="40" t="n">
        <v>3</v>
      </c>
      <c r="O31" s="40" t="n">
        <f aca="false">$E31*N31</f>
        <v>9</v>
      </c>
    </row>
    <row r="32" customFormat="false" ht="14.25" hidden="false" customHeight="false" outlineLevel="0" collapsed="false">
      <c r="B32" s="24"/>
      <c r="C32" s="170"/>
      <c r="D32" s="40" t="s">
        <v>170</v>
      </c>
      <c r="E32" s="40" t="n">
        <v>5</v>
      </c>
      <c r="F32" s="40" t="n">
        <v>5</v>
      </c>
      <c r="G32" s="40" t="n">
        <f aca="false">E32*F32</f>
        <v>25</v>
      </c>
      <c r="H32" s="40"/>
      <c r="I32" s="40" t="n">
        <f aca="false">$E32*H32</f>
        <v>0</v>
      </c>
      <c r="J32" s="40"/>
      <c r="K32" s="40" t="n">
        <f aca="false">$E32*J32</f>
        <v>0</v>
      </c>
      <c r="L32" s="40" t="n">
        <v>5</v>
      </c>
      <c r="M32" s="40" t="n">
        <f aca="false">$E32*L32</f>
        <v>25</v>
      </c>
      <c r="N32" s="40" t="n">
        <v>5</v>
      </c>
      <c r="O32" s="40" t="n">
        <f aca="false">$E32*N32</f>
        <v>25</v>
      </c>
    </row>
    <row r="33" customFormat="false" ht="14.25" hidden="false" customHeight="false" outlineLevel="0" collapsed="false">
      <c r="B33" s="24"/>
      <c r="C33" s="170"/>
      <c r="D33" s="40" t="s">
        <v>171</v>
      </c>
      <c r="E33" s="40" t="n">
        <v>5</v>
      </c>
      <c r="F33" s="40" t="n">
        <v>2</v>
      </c>
      <c r="G33" s="40" t="n">
        <f aca="false">E33*F33</f>
        <v>10</v>
      </c>
      <c r="H33" s="40"/>
      <c r="I33" s="40" t="n">
        <f aca="false">$E33*H33</f>
        <v>0</v>
      </c>
      <c r="J33" s="40"/>
      <c r="K33" s="40" t="n">
        <f aca="false">$E33*J33</f>
        <v>0</v>
      </c>
      <c r="L33" s="40" t="n">
        <v>2</v>
      </c>
      <c r="M33" s="40" t="n">
        <f aca="false">$E33*L33</f>
        <v>10</v>
      </c>
      <c r="N33" s="40" t="n">
        <v>2</v>
      </c>
      <c r="O33" s="40" t="n">
        <f aca="false">$E33*N33</f>
        <v>10</v>
      </c>
    </row>
    <row r="34" customFormat="false" ht="14.25" hidden="false" customHeight="false" outlineLevel="0" collapsed="false">
      <c r="B34" s="24"/>
      <c r="C34" s="170"/>
      <c r="D34" s="40" t="s">
        <v>172</v>
      </c>
      <c r="E34" s="40" t="n">
        <v>10</v>
      </c>
      <c r="F34" s="40" t="n">
        <v>5</v>
      </c>
      <c r="G34" s="40" t="n">
        <f aca="false">E34*F34</f>
        <v>50</v>
      </c>
      <c r="H34" s="40"/>
      <c r="I34" s="40" t="n">
        <f aca="false">$E34*H34</f>
        <v>0</v>
      </c>
      <c r="J34" s="40"/>
      <c r="K34" s="40" t="n">
        <f aca="false">$E34*J34</f>
        <v>0</v>
      </c>
      <c r="L34" s="40" t="n">
        <v>5</v>
      </c>
      <c r="M34" s="40" t="n">
        <f aca="false">$E34*L34</f>
        <v>50</v>
      </c>
      <c r="N34" s="40" t="n">
        <v>5</v>
      </c>
      <c r="O34" s="40" t="n">
        <f aca="false">$E34*N34</f>
        <v>50</v>
      </c>
    </row>
    <row r="35" customFormat="false" ht="14.25" hidden="false" customHeight="false" outlineLevel="0" collapsed="false">
      <c r="B35" s="24"/>
      <c r="C35" s="170"/>
      <c r="D35" s="40" t="s">
        <v>242</v>
      </c>
      <c r="E35" s="40" t="n">
        <v>100</v>
      </c>
      <c r="F35" s="40" t="n">
        <v>0</v>
      </c>
      <c r="G35" s="40" t="n">
        <f aca="false">E35*F35</f>
        <v>0</v>
      </c>
      <c r="H35" s="40"/>
      <c r="I35" s="40" t="n">
        <f aca="false">$E35*H35</f>
        <v>0</v>
      </c>
      <c r="J35" s="40"/>
      <c r="K35" s="40" t="n">
        <f aca="false">$E35*J35</f>
        <v>0</v>
      </c>
      <c r="L35" s="40" t="n">
        <v>5</v>
      </c>
      <c r="M35" s="40" t="n">
        <f aca="false">$E35*L35</f>
        <v>500</v>
      </c>
      <c r="N35" s="40" t="n">
        <v>0</v>
      </c>
      <c r="O35" s="40" t="n">
        <f aca="false">$E35*N35</f>
        <v>0</v>
      </c>
    </row>
    <row r="36" customFormat="false" ht="14.25" hidden="false" customHeight="false" outlineLevel="0" collapsed="false">
      <c r="B36" s="24"/>
      <c r="C36" s="170"/>
      <c r="D36" s="40" t="s">
        <v>24</v>
      </c>
      <c r="E36" s="40"/>
      <c r="F36" s="40" t="n">
        <f aca="false">SUM(F29:F35)</f>
        <v>24</v>
      </c>
      <c r="G36" s="40" t="n">
        <f aca="false">E36*F36</f>
        <v>0</v>
      </c>
      <c r="H36" s="40" t="n">
        <f aca="false">SUM(H29:H35)</f>
        <v>0</v>
      </c>
      <c r="I36" s="40"/>
      <c r="J36" s="40" t="n">
        <f aca="false">SUM(J29:J35)</f>
        <v>0</v>
      </c>
      <c r="K36" s="40"/>
      <c r="L36" s="40" t="n">
        <f aca="false">SUM(L29:L35)</f>
        <v>29</v>
      </c>
      <c r="M36" s="40"/>
      <c r="N36" s="40" t="n">
        <f aca="false">SUM(N29:N35)</f>
        <v>24</v>
      </c>
      <c r="O36" s="40"/>
    </row>
    <row r="37" customFormat="false" ht="14.25" hidden="false" customHeight="false" outlineLevel="0" collapsed="false">
      <c r="B37" s="24"/>
      <c r="C37" s="170"/>
      <c r="D37" s="40" t="s">
        <v>25</v>
      </c>
      <c r="E37" s="40"/>
      <c r="F37" s="40"/>
      <c r="G37" s="40" t="n">
        <f aca="false">SUM(G29:G35)</f>
        <v>107</v>
      </c>
      <c r="H37" s="40"/>
      <c r="I37" s="40" t="n">
        <f aca="false">SUM(I29:I35)</f>
        <v>0</v>
      </c>
      <c r="J37" s="40"/>
      <c r="K37" s="40" t="n">
        <f aca="false">SUM(K29:K35)</f>
        <v>0</v>
      </c>
      <c r="L37" s="40"/>
      <c r="M37" s="40" t="n">
        <f aca="false">SUM(M29:M35)</f>
        <v>607</v>
      </c>
      <c r="N37" s="40"/>
      <c r="O37" s="40" t="n">
        <f aca="false">SUM(O29:O35)</f>
        <v>107</v>
      </c>
    </row>
    <row r="38" customFormat="false" ht="14.25" hidden="false" customHeight="false" outlineLevel="0" collapsed="false">
      <c r="B38" s="26" t="s">
        <v>174</v>
      </c>
      <c r="C38" s="37" t="s">
        <v>175</v>
      </c>
      <c r="D38" s="40"/>
      <c r="E38" s="40" t="s">
        <v>29</v>
      </c>
      <c r="F38" s="40" t="s">
        <v>176</v>
      </c>
      <c r="G38" s="40" t="s">
        <v>177</v>
      </c>
    </row>
    <row r="39" customFormat="false" ht="14.25" hidden="false" customHeight="false" outlineLevel="0" collapsed="false">
      <c r="B39" s="26"/>
      <c r="C39" s="37"/>
      <c r="D39" s="40" t="s">
        <v>4</v>
      </c>
      <c r="E39" s="46"/>
      <c r="F39" s="46"/>
      <c r="G39" s="40"/>
    </row>
    <row r="40" customFormat="false" ht="14.25" hidden="false" customHeight="false" outlineLevel="0" collapsed="false">
      <c r="B40" s="26"/>
      <c r="C40" s="37"/>
      <c r="D40" s="40" t="s">
        <v>5</v>
      </c>
      <c r="E40" s="46"/>
      <c r="F40" s="46"/>
      <c r="G40" s="40"/>
    </row>
    <row r="41" customFormat="false" ht="14.25" hidden="false" customHeight="false" outlineLevel="0" collapsed="false">
      <c r="B41" s="26"/>
      <c r="C41" s="37"/>
      <c r="D41" s="40" t="s">
        <v>6</v>
      </c>
      <c r="E41" s="46"/>
      <c r="F41" s="46"/>
      <c r="G41" s="40"/>
    </row>
    <row r="42" customFormat="false" ht="14.25" hidden="false" customHeight="false" outlineLevel="0" collapsed="false">
      <c r="B42" s="26"/>
      <c r="C42" s="37"/>
      <c r="D42" s="40" t="s">
        <v>7</v>
      </c>
      <c r="E42" s="46"/>
      <c r="F42" s="46"/>
      <c r="G42" s="40"/>
    </row>
    <row r="43" customFormat="false" ht="14.25" hidden="false" customHeight="false" outlineLevel="0" collapsed="false">
      <c r="B43" s="26"/>
      <c r="C43" s="37"/>
      <c r="D43" s="40" t="s">
        <v>8</v>
      </c>
      <c r="E43" s="46"/>
      <c r="F43" s="46"/>
      <c r="G43" s="40"/>
    </row>
    <row r="44" customFormat="false" ht="14.25" hidden="false" customHeight="false" outlineLevel="0" collapsed="false">
      <c r="B44" s="26"/>
      <c r="C44" s="37"/>
      <c r="D44" s="40" t="s">
        <v>36</v>
      </c>
      <c r="E44" s="46"/>
      <c r="F44" s="46"/>
      <c r="G44" s="40"/>
    </row>
    <row r="45" customFormat="false" ht="7.5" hidden="false" customHeight="true" outlineLevel="0" collapsed="false">
      <c r="B45" s="26"/>
      <c r="C45" s="37"/>
      <c r="D45" s="40"/>
      <c r="E45" s="40"/>
      <c r="F45" s="40"/>
      <c r="G45" s="40"/>
    </row>
    <row r="46" customFormat="false" ht="14.25" hidden="false" customHeight="false" outlineLevel="0" collapsed="false">
      <c r="B46" s="26"/>
      <c r="C46" s="37"/>
      <c r="D46" s="40"/>
      <c r="E46" s="40"/>
      <c r="F46" s="40"/>
      <c r="G46" s="40"/>
    </row>
    <row r="47" customFormat="false" ht="14.25" hidden="false" customHeight="false" outlineLevel="0" collapsed="false">
      <c r="B47" s="26"/>
      <c r="C47" s="37"/>
      <c r="D47" s="40" t="s">
        <v>178</v>
      </c>
      <c r="E47" s="40"/>
      <c r="F47" s="40"/>
      <c r="G47" s="40"/>
    </row>
    <row r="48" customFormat="false" ht="28.5" hidden="false" customHeight="true" outlineLevel="0" collapsed="false">
      <c r="B48" s="26"/>
      <c r="C48" s="37"/>
      <c r="D48" s="167" t="s">
        <v>179</v>
      </c>
      <c r="E48" s="40"/>
      <c r="F48" s="40"/>
      <c r="G48" s="40"/>
    </row>
    <row r="49" customFormat="false" ht="14.25" hidden="false" customHeight="false" outlineLevel="0" collapsed="false">
      <c r="B49" s="26"/>
      <c r="C49" s="37"/>
      <c r="D49" s="40" t="s">
        <v>180</v>
      </c>
      <c r="E49" s="40" t="s">
        <v>181</v>
      </c>
      <c r="F49" s="40"/>
      <c r="G49" s="40"/>
    </row>
    <row r="50" customFormat="false" ht="14.25" hidden="false" customHeight="false" outlineLevel="0" collapsed="false">
      <c r="B50" s="26"/>
      <c r="C50" s="37"/>
      <c r="D50" s="40" t="s">
        <v>182</v>
      </c>
      <c r="E50" s="40"/>
      <c r="F50" s="40"/>
      <c r="G50" s="40"/>
    </row>
    <row r="51" customFormat="false" ht="14.25" hidden="false" customHeight="false" outlineLevel="0" collapsed="false">
      <c r="B51" s="26"/>
      <c r="C51" s="37"/>
      <c r="D51" s="40" t="s">
        <v>183</v>
      </c>
      <c r="E51" s="40" t="s">
        <v>184</v>
      </c>
      <c r="F51" s="40"/>
      <c r="G51" s="40"/>
    </row>
    <row r="52" customFormat="false" ht="14.25" hidden="false" customHeight="false" outlineLevel="0" collapsed="false">
      <c r="B52" s="26"/>
      <c r="C52" s="37"/>
      <c r="D52" s="40" t="s">
        <v>185</v>
      </c>
      <c r="E52" s="40"/>
      <c r="F52" s="40"/>
      <c r="G52" s="40"/>
    </row>
    <row r="53" customFormat="false" ht="14.25" hidden="false" customHeight="false" outlineLevel="0" collapsed="false">
      <c r="B53" s="26"/>
      <c r="C53" s="37"/>
      <c r="D53" s="40" t="s">
        <v>186</v>
      </c>
      <c r="E53" s="40"/>
      <c r="F53" s="40"/>
      <c r="G53" s="40"/>
    </row>
    <row r="54" customFormat="false" ht="14.25" hidden="false" customHeight="false" outlineLevel="0" collapsed="false">
      <c r="B54" s="26"/>
      <c r="C54" s="37"/>
      <c r="D54" s="40" t="s">
        <v>187</v>
      </c>
      <c r="E54" s="40"/>
      <c r="F54" s="40"/>
      <c r="G54" s="40"/>
    </row>
  </sheetData>
  <mergeCells count="11">
    <mergeCell ref="B1:B37"/>
    <mergeCell ref="C10:C15"/>
    <mergeCell ref="C16:C25"/>
    <mergeCell ref="F27:G27"/>
    <mergeCell ref="H27:I27"/>
    <mergeCell ref="J27:K27"/>
    <mergeCell ref="L27:M27"/>
    <mergeCell ref="N27:O27"/>
    <mergeCell ref="C28:C37"/>
    <mergeCell ref="B38:B54"/>
    <mergeCell ref="C38:C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3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21" activeCellId="0" sqref="D2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48.45"/>
    <col collapsed="false" customWidth="true" hidden="false" outlineLevel="0" max="3" min="3" style="0" width="11.54"/>
    <col collapsed="false" customWidth="true" hidden="false" outlineLevel="0" max="8" min="8" style="0" width="41.45"/>
    <col collapsed="false" customWidth="true" hidden="false" outlineLevel="0" max="10" min="10" style="0" width="9.45"/>
    <col collapsed="false" customWidth="true" hidden="false" outlineLevel="0" max="14" min="14" style="0" width="18.45"/>
    <col collapsed="false" customWidth="true" hidden="false" outlineLevel="0" max="15" min="15" style="0" width="17.45"/>
    <col collapsed="false" customWidth="true" hidden="false" outlineLevel="0" max="16" min="16" style="0" width="1.82"/>
    <col collapsed="false" customWidth="true" hidden="false" outlineLevel="0" max="17" min="17" style="0" width="22.54"/>
    <col collapsed="false" customWidth="true" hidden="false" outlineLevel="0" max="18" min="18" style="0" width="11.18"/>
    <col collapsed="false" customWidth="true" hidden="false" outlineLevel="0" max="19" min="19" style="0" width="11.27"/>
  </cols>
  <sheetData>
    <row r="1" customFormat="false" ht="14.25" hidden="false" customHeight="false" outlineLevel="0" collapsed="false">
      <c r="C1" s="40" t="s">
        <v>243</v>
      </c>
      <c r="D1" s="172" t="s">
        <v>244</v>
      </c>
      <c r="E1" s="172"/>
      <c r="F1" s="172"/>
      <c r="G1" s="172"/>
      <c r="H1" s="172"/>
      <c r="I1" s="172"/>
      <c r="M1" s="44" t="s">
        <v>245</v>
      </c>
      <c r="N1" s="44"/>
      <c r="O1" s="44"/>
      <c r="Q1" s="44" t="s">
        <v>1</v>
      </c>
      <c r="R1" s="44"/>
      <c r="S1" s="44"/>
    </row>
    <row r="2" customFormat="false" ht="14.25" hidden="false" customHeight="false" outlineLevel="0" collapsed="false">
      <c r="B2" s="38" t="s">
        <v>246</v>
      </c>
      <c r="C2" s="40"/>
      <c r="D2" s="40" t="n">
        <v>0</v>
      </c>
      <c r="E2" s="40" t="n">
        <v>1</v>
      </c>
      <c r="F2" s="40" t="n">
        <v>2</v>
      </c>
      <c r="G2" s="40" t="n">
        <v>3</v>
      </c>
      <c r="H2" s="40" t="n">
        <v>4</v>
      </c>
      <c r="I2" s="40" t="n">
        <v>5</v>
      </c>
      <c r="J2" s="40" t="s">
        <v>245</v>
      </c>
      <c r="K2" s="40" t="s">
        <v>1</v>
      </c>
      <c r="M2" s="40" t="s">
        <v>247</v>
      </c>
      <c r="N2" s="40" t="s">
        <v>248</v>
      </c>
      <c r="O2" s="40" t="s">
        <v>249</v>
      </c>
      <c r="Q2" s="40" t="s">
        <v>247</v>
      </c>
      <c r="R2" s="40" t="s">
        <v>248</v>
      </c>
      <c r="S2" s="40" t="s">
        <v>249</v>
      </c>
    </row>
    <row r="3" customFormat="false" ht="16.4" hidden="false" customHeight="false" outlineLevel="0" collapsed="false">
      <c r="B3" s="40" t="s">
        <v>9</v>
      </c>
      <c r="C3" s="40" t="n">
        <v>5</v>
      </c>
      <c r="D3" s="173"/>
      <c r="E3" s="173"/>
      <c r="F3" s="173"/>
      <c r="G3" s="173"/>
      <c r="H3" s="173"/>
      <c r="I3" s="173" t="n">
        <f aca="false">I2*C3</f>
        <v>25</v>
      </c>
      <c r="J3" s="174" t="n">
        <f aca="false">K3/C3</f>
        <v>5</v>
      </c>
      <c r="K3" s="128" t="n">
        <f aca="false">SUM(D3:I3)</f>
        <v>25</v>
      </c>
      <c r="M3" s="40" t="n">
        <v>5</v>
      </c>
      <c r="N3" s="40" t="n">
        <v>5</v>
      </c>
      <c r="O3" s="40" t="n">
        <v>1</v>
      </c>
      <c r="Q3" s="40" t="n">
        <f aca="false">C3*M3</f>
        <v>25</v>
      </c>
      <c r="R3" s="40" t="n">
        <f aca="false">C3*N3</f>
        <v>25</v>
      </c>
      <c r="S3" s="40" t="n">
        <f aca="false">C3*O3</f>
        <v>5</v>
      </c>
    </row>
    <row r="4" customFormat="false" ht="16.4" hidden="false" customHeight="false" outlineLevel="0" collapsed="false">
      <c r="B4" s="40" t="s">
        <v>11</v>
      </c>
      <c r="C4" s="40" t="n">
        <v>10</v>
      </c>
      <c r="D4" s="173"/>
      <c r="E4" s="173"/>
      <c r="F4" s="173" t="n">
        <f aca="false">C4*F2</f>
        <v>20</v>
      </c>
      <c r="G4" s="173"/>
      <c r="H4" s="173"/>
      <c r="I4" s="173"/>
      <c r="J4" s="174" t="n">
        <f aca="false">K4/C4</f>
        <v>2</v>
      </c>
      <c r="K4" s="128" t="n">
        <f aca="false">SUM(D4:I4)</f>
        <v>20</v>
      </c>
      <c r="M4" s="40" t="n">
        <v>4</v>
      </c>
      <c r="N4" s="40" t="n">
        <v>4</v>
      </c>
      <c r="O4" s="40" t="n">
        <v>4</v>
      </c>
      <c r="Q4" s="40" t="n">
        <f aca="false">C4*M4</f>
        <v>40</v>
      </c>
      <c r="R4" s="40" t="n">
        <f aca="false">C4*N4</f>
        <v>40</v>
      </c>
      <c r="S4" s="40" t="n">
        <f aca="false">C4*O4</f>
        <v>40</v>
      </c>
    </row>
    <row r="5" customFormat="false" ht="16.4" hidden="false" customHeight="false" outlineLevel="0" collapsed="false">
      <c r="B5" s="40" t="s">
        <v>13</v>
      </c>
      <c r="C5" s="40" t="n">
        <v>100</v>
      </c>
      <c r="D5" s="173"/>
      <c r="E5" s="173"/>
      <c r="F5" s="173"/>
      <c r="G5" s="173" t="n">
        <f aca="false">C5*G2</f>
        <v>300</v>
      </c>
      <c r="H5" s="173"/>
      <c r="I5" s="173"/>
      <c r="J5" s="174" t="n">
        <f aca="false">K5/C5</f>
        <v>3</v>
      </c>
      <c r="K5" s="128" t="n">
        <f aca="false">SUM(D5:I5)</f>
        <v>300</v>
      </c>
      <c r="M5" s="40" t="n">
        <v>4</v>
      </c>
      <c r="N5" s="40" t="n">
        <v>4</v>
      </c>
      <c r="O5" s="40" t="n">
        <v>4</v>
      </c>
      <c r="Q5" s="40" t="n">
        <f aca="false">C5*M5</f>
        <v>400</v>
      </c>
      <c r="R5" s="40" t="n">
        <f aca="false">C5*N5</f>
        <v>400</v>
      </c>
      <c r="S5" s="40" t="n">
        <f aca="false">C5*O5</f>
        <v>400</v>
      </c>
    </row>
    <row r="6" customFormat="false" ht="16.4" hidden="false" customHeight="false" outlineLevel="0" collapsed="false">
      <c r="B6" s="40" t="s">
        <v>250</v>
      </c>
      <c r="C6" s="40" t="n">
        <v>100</v>
      </c>
      <c r="D6" s="173"/>
      <c r="E6" s="173"/>
      <c r="F6" s="173"/>
      <c r="G6" s="173"/>
      <c r="H6" s="173" t="n">
        <f aca="false">C6*H2</f>
        <v>400</v>
      </c>
      <c r="I6" s="173"/>
      <c r="J6" s="174" t="n">
        <f aca="false">K6/C6</f>
        <v>4</v>
      </c>
      <c r="K6" s="128" t="n">
        <f aca="false">SUM(D6:I6)</f>
        <v>400</v>
      </c>
      <c r="M6" s="40" t="n">
        <v>0</v>
      </c>
      <c r="N6" s="40" t="n">
        <v>0</v>
      </c>
      <c r="O6" s="40" t="n">
        <v>0</v>
      </c>
      <c r="Q6" s="40" t="n">
        <f aca="false">C6*M6</f>
        <v>0</v>
      </c>
      <c r="R6" s="40" t="n">
        <f aca="false">C6*N6</f>
        <v>0</v>
      </c>
      <c r="S6" s="40" t="n">
        <f aca="false">C6*O6</f>
        <v>0</v>
      </c>
    </row>
    <row r="7" customFormat="false" ht="16.4" hidden="false" customHeight="false" outlineLevel="0" collapsed="false">
      <c r="B7" s="40" t="s">
        <v>17</v>
      </c>
      <c r="C7" s="40" t="n">
        <v>100</v>
      </c>
      <c r="D7" s="173"/>
      <c r="E7" s="173"/>
      <c r="F7" s="173"/>
      <c r="G7" s="173"/>
      <c r="H7" s="173"/>
      <c r="I7" s="173" t="n">
        <f aca="false">C7*I2</f>
        <v>500</v>
      </c>
      <c r="J7" s="174" t="n">
        <f aca="false">K7/C7</f>
        <v>5</v>
      </c>
      <c r="K7" s="128" t="n">
        <f aca="false">SUM(D7:I7)</f>
        <v>500</v>
      </c>
      <c r="M7" s="40" t="n">
        <v>4</v>
      </c>
      <c r="N7" s="40" t="n">
        <v>4</v>
      </c>
      <c r="O7" s="40" t="n">
        <v>2</v>
      </c>
      <c r="Q7" s="40" t="n">
        <f aca="false">C7*M7</f>
        <v>400</v>
      </c>
      <c r="R7" s="40" t="n">
        <f aca="false">C7*N7</f>
        <v>400</v>
      </c>
      <c r="S7" s="40" t="n">
        <f aca="false">C7*O7</f>
        <v>200</v>
      </c>
    </row>
    <row r="8" customFormat="false" ht="16.4" hidden="false" customHeight="false" outlineLevel="0" collapsed="false">
      <c r="B8" s="40" t="s">
        <v>19</v>
      </c>
      <c r="C8" s="40" t="n">
        <v>100</v>
      </c>
      <c r="D8" s="173"/>
      <c r="E8" s="173"/>
      <c r="F8" s="173" t="n">
        <f aca="false">C8*F2</f>
        <v>200</v>
      </c>
      <c r="G8" s="173"/>
      <c r="H8" s="173"/>
      <c r="I8" s="173"/>
      <c r="J8" s="174" t="n">
        <f aca="false">K8/C8</f>
        <v>2</v>
      </c>
      <c r="K8" s="128" t="n">
        <f aca="false">SUM(D8:I8)</f>
        <v>200</v>
      </c>
      <c r="M8" s="40" t="n">
        <v>4</v>
      </c>
      <c r="N8" s="40" t="n">
        <v>5</v>
      </c>
      <c r="O8" s="40" t="n">
        <v>2</v>
      </c>
      <c r="Q8" s="40" t="n">
        <f aca="false">C8*M8</f>
        <v>400</v>
      </c>
      <c r="R8" s="40" t="n">
        <f aca="false">C8*N8</f>
        <v>500</v>
      </c>
      <c r="S8" s="40" t="n">
        <f aca="false">C8*O8</f>
        <v>200</v>
      </c>
    </row>
    <row r="9" customFormat="false" ht="16.4" hidden="false" customHeight="false" outlineLevel="0" collapsed="false">
      <c r="B9" s="40" t="s">
        <v>20</v>
      </c>
      <c r="C9" s="40" t="n">
        <v>100</v>
      </c>
      <c r="D9" s="173"/>
      <c r="E9" s="173"/>
      <c r="F9" s="173"/>
      <c r="G9" s="173" t="n">
        <f aca="false">C9*G2</f>
        <v>300</v>
      </c>
      <c r="H9" s="173"/>
      <c r="I9" s="173"/>
      <c r="J9" s="174" t="n">
        <f aca="false">K9/C9</f>
        <v>3</v>
      </c>
      <c r="K9" s="128" t="n">
        <f aca="false">SUM(D9:I9)</f>
        <v>300</v>
      </c>
      <c r="M9" s="40" t="n">
        <v>4</v>
      </c>
      <c r="N9" s="40" t="n">
        <v>5</v>
      </c>
      <c r="O9" s="40" t="n">
        <v>2</v>
      </c>
      <c r="Q9" s="40" t="n">
        <f aca="false">C9*M9</f>
        <v>400</v>
      </c>
      <c r="R9" s="40" t="n">
        <f aca="false">C9*N9</f>
        <v>500</v>
      </c>
      <c r="S9" s="40" t="n">
        <f aca="false">C9*O9</f>
        <v>200</v>
      </c>
    </row>
    <row r="10" customFormat="false" ht="16.4" hidden="false" customHeight="false" outlineLevel="0" collapsed="false">
      <c r="B10" s="40" t="s">
        <v>22</v>
      </c>
      <c r="C10" s="40" t="n">
        <v>1000</v>
      </c>
      <c r="D10" s="173"/>
      <c r="E10" s="173"/>
      <c r="F10" s="173"/>
      <c r="G10" s="173"/>
      <c r="H10" s="173" t="n">
        <f aca="false">C10*H2</f>
        <v>4000</v>
      </c>
      <c r="I10" s="173"/>
      <c r="J10" s="174" t="n">
        <f aca="false">K10/C10</f>
        <v>4</v>
      </c>
      <c r="K10" s="128" t="n">
        <f aca="false">SUM(D10:I10)</f>
        <v>4000</v>
      </c>
      <c r="M10" s="40" t="n">
        <v>0</v>
      </c>
      <c r="N10" s="40" t="n">
        <v>0</v>
      </c>
      <c r="O10" s="40"/>
      <c r="Q10" s="40" t="n">
        <f aca="false">C10*M10</f>
        <v>0</v>
      </c>
      <c r="R10" s="40" t="n">
        <f aca="false">IF(N10=0,0,C10*(5-N10+1))</f>
        <v>0</v>
      </c>
      <c r="S10" s="40" t="n">
        <f aca="false">C10*O10</f>
        <v>0</v>
      </c>
    </row>
    <row r="11" customFormat="false" ht="14.25" hidden="false" customHeight="false" outlineLevel="0" collapsed="false">
      <c r="B11" s="40" t="s">
        <v>24</v>
      </c>
      <c r="C11" s="40"/>
      <c r="D11" s="173"/>
      <c r="E11" s="173"/>
      <c r="F11" s="173"/>
      <c r="G11" s="173"/>
      <c r="H11" s="173"/>
      <c r="I11" s="173"/>
      <c r="J11" s="128" t="n">
        <f aca="false">SUM(J3:J10)</f>
        <v>28</v>
      </c>
      <c r="K11" s="40"/>
      <c r="M11" s="128" t="n">
        <f aca="false">SUM(M3:M10)</f>
        <v>25</v>
      </c>
      <c r="N11" s="128" t="n">
        <f aca="false">SUM(N3:N10)</f>
        <v>27</v>
      </c>
      <c r="O11" s="128" t="n">
        <f aca="false">SUM(O3:O10)</f>
        <v>15</v>
      </c>
      <c r="Q11" s="128" t="n">
        <f aca="false">SUM(Q3:Q10)</f>
        <v>1665</v>
      </c>
      <c r="R11" s="128" t="n">
        <f aca="false">SUM(R3:R10)</f>
        <v>1865</v>
      </c>
      <c r="S11" s="128" t="n">
        <f aca="false">SUM(S3:S10)</f>
        <v>1045</v>
      </c>
    </row>
    <row r="12" customFormat="false" ht="14.25" hidden="false" customHeight="false" outlineLevel="0" collapsed="false">
      <c r="B12" s="40" t="s">
        <v>25</v>
      </c>
      <c r="C12" s="40"/>
      <c r="D12" s="40"/>
      <c r="E12" s="40"/>
      <c r="F12" s="40"/>
      <c r="G12" s="40"/>
      <c r="H12" s="40"/>
      <c r="I12" s="40"/>
      <c r="J12" s="40"/>
      <c r="K12" s="128" t="n">
        <f aca="false">SUM(K3:K10)</f>
        <v>5745</v>
      </c>
      <c r="M12" s="40"/>
      <c r="N12" s="40"/>
      <c r="O12" s="40"/>
      <c r="Q12" s="40"/>
      <c r="R12" s="40"/>
      <c r="S12" s="40"/>
    </row>
    <row r="13" customFormat="false" ht="14.25" hidden="false" customHeight="false" outlineLevel="0" collapsed="false">
      <c r="M13" s="175" t="n">
        <f aca="false">COUNT(C3:C10)*5</f>
        <v>40</v>
      </c>
    </row>
    <row r="14" customFormat="false" ht="14.25" hidden="false" customHeight="false" outlineLevel="0" collapsed="false">
      <c r="B14" s="40" t="s">
        <v>251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176"/>
      <c r="N14" s="40"/>
      <c r="O14" s="40"/>
      <c r="P14" s="40"/>
      <c r="Q14" s="174" t="n">
        <f aca="false">M11*4</f>
        <v>100</v>
      </c>
      <c r="R14" s="174" t="n">
        <f aca="false">N11*4</f>
        <v>108</v>
      </c>
      <c r="S14" s="174" t="n">
        <f aca="false">O11*4</f>
        <v>60</v>
      </c>
    </row>
    <row r="15" customFormat="false" ht="16.4" hidden="false" customHeight="false" outlineLevel="0" collapsed="false">
      <c r="B15" s="40" t="s">
        <v>250</v>
      </c>
      <c r="C15" s="40" t="n">
        <v>100</v>
      </c>
      <c r="D15" s="173"/>
      <c r="E15" s="173"/>
      <c r="F15" s="173"/>
      <c r="G15" s="173"/>
      <c r="H15" s="173" t="n">
        <f aca="false">C15*H11</f>
        <v>0</v>
      </c>
      <c r="I15" s="173"/>
      <c r="J15" s="174" t="n">
        <f aca="false">K15/C15</f>
        <v>0</v>
      </c>
      <c r="K15" s="128" t="n">
        <f aca="false">SUM(D15:I15)</f>
        <v>0</v>
      </c>
      <c r="L15" s="40"/>
      <c r="M15" s="40" t="n">
        <v>0</v>
      </c>
      <c r="N15" s="40" t="n">
        <v>5</v>
      </c>
      <c r="O15" s="40" t="n">
        <v>5</v>
      </c>
      <c r="P15" s="40"/>
      <c r="Q15" s="40" t="n">
        <f aca="false">C15*M15</f>
        <v>0</v>
      </c>
      <c r="R15" s="40" t="n">
        <f aca="false">C15*N15</f>
        <v>500</v>
      </c>
      <c r="S15" s="40" t="n">
        <f aca="false">C15*O15</f>
        <v>500</v>
      </c>
    </row>
    <row r="16" customFormat="false" ht="14.25" hidden="false" customHeight="false" outlineLevel="0" collapsed="false">
      <c r="B16" s="40" t="s">
        <v>252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</row>
    <row r="19" customFormat="false" ht="14.25" hidden="false" customHeight="false" outlineLevel="0" collapsed="false">
      <c r="B19" s="0" t="s">
        <v>253</v>
      </c>
    </row>
    <row r="20" customFormat="false" ht="14.25" hidden="false" customHeight="false" outlineLevel="0" collapsed="false">
      <c r="B20" s="177"/>
      <c r="N20" s="178"/>
      <c r="O20" s="178"/>
      <c r="P20" s="178"/>
      <c r="Q20" s="178" t="s">
        <v>254</v>
      </c>
      <c r="R20" s="178" t="s">
        <v>29</v>
      </c>
    </row>
    <row r="21" customFormat="false" ht="14.25" hidden="false" customHeight="false" outlineLevel="0" collapsed="false">
      <c r="B21" s="177" t="s">
        <v>255</v>
      </c>
      <c r="N21" s="178" t="s">
        <v>256</v>
      </c>
      <c r="O21" s="178" t="s">
        <v>37</v>
      </c>
      <c r="P21" s="178"/>
      <c r="Q21" s="179" t="n">
        <v>10</v>
      </c>
      <c r="R21" s="179" t="n">
        <f aca="false">Q21*$Q$14</f>
        <v>1000</v>
      </c>
    </row>
    <row r="22" customFormat="false" ht="14.25" hidden="false" customHeight="false" outlineLevel="0" collapsed="false">
      <c r="B22" s="177" t="s">
        <v>257</v>
      </c>
      <c r="E22" s="39" t="s">
        <v>258</v>
      </c>
      <c r="N22" s="178"/>
      <c r="O22" s="178" t="s">
        <v>51</v>
      </c>
      <c r="P22" s="178"/>
      <c r="Q22" s="179" t="n">
        <v>1000</v>
      </c>
      <c r="R22" s="179" t="n">
        <f aca="false">Q22*$Q$14</f>
        <v>100000</v>
      </c>
    </row>
    <row r="23" customFormat="false" ht="14.25" hidden="false" customHeight="false" outlineLevel="0" collapsed="false">
      <c r="B23" s="0" t="n">
        <v>0</v>
      </c>
      <c r="C23" s="0" t="s">
        <v>259</v>
      </c>
      <c r="N23" s="178"/>
      <c r="O23" s="178" t="s">
        <v>53</v>
      </c>
      <c r="P23" s="178"/>
      <c r="Q23" s="179" t="n">
        <v>1000</v>
      </c>
      <c r="R23" s="179" t="n">
        <f aca="false">Q23*$Q$14</f>
        <v>100000</v>
      </c>
    </row>
    <row r="24" customFormat="false" ht="14.25" hidden="false" customHeight="false" outlineLevel="0" collapsed="false">
      <c r="B24" s="0" t="n">
        <v>1</v>
      </c>
      <c r="C24" s="0" t="s">
        <v>260</v>
      </c>
      <c r="N24" s="178"/>
      <c r="O24" s="178"/>
      <c r="P24" s="178"/>
      <c r="Q24" s="179" t="n">
        <f aca="false">SUM(Q21:Q23)</f>
        <v>2010</v>
      </c>
      <c r="R24" s="179" t="n">
        <f aca="false">SUM(R21:R23)</f>
        <v>201000</v>
      </c>
    </row>
    <row r="25" customFormat="false" ht="14.25" hidden="false" customHeight="false" outlineLevel="0" collapsed="false">
      <c r="B25" s="0" t="n">
        <v>2</v>
      </c>
      <c r="C25" s="0" t="str">
        <f aca="false">B25&amp;"  person"</f>
        <v>2  person</v>
      </c>
    </row>
    <row r="26" customFormat="false" ht="14.25" hidden="false" customHeight="false" outlineLevel="0" collapsed="false">
      <c r="B26" s="0" t="n">
        <v>3</v>
      </c>
      <c r="C26" s="0" t="str">
        <f aca="false">B26&amp;"  person"</f>
        <v>3  person</v>
      </c>
      <c r="H26" s="180" t="s">
        <v>135</v>
      </c>
      <c r="N26" s="178"/>
      <c r="O26" s="178"/>
      <c r="P26" s="178"/>
      <c r="Q26" s="178" t="s">
        <v>254</v>
      </c>
      <c r="R26" s="178" t="s">
        <v>29</v>
      </c>
    </row>
    <row r="27" customFormat="false" ht="14.25" hidden="false" customHeight="false" outlineLevel="0" collapsed="false">
      <c r="B27" s="0" t="n">
        <v>4</v>
      </c>
      <c r="C27" s="0" t="str">
        <f aca="false">B27&amp;"  person"</f>
        <v>4  person</v>
      </c>
      <c r="H27" s="165" t="s">
        <v>137</v>
      </c>
      <c r="N27" s="178" t="s">
        <v>60</v>
      </c>
      <c r="O27" s="178" t="s">
        <v>37</v>
      </c>
      <c r="P27" s="178"/>
      <c r="Q27" s="179" t="n">
        <v>10</v>
      </c>
      <c r="R27" s="179" t="n">
        <f aca="false">Q27*$Q$14</f>
        <v>1000</v>
      </c>
    </row>
    <row r="28" customFormat="false" ht="16.4" hidden="false" customHeight="false" outlineLevel="0" collapsed="false">
      <c r="B28" s="0" t="n">
        <v>5</v>
      </c>
      <c r="C28" s="0" t="str">
        <f aca="false">B28&amp;"  person"</f>
        <v>5  person</v>
      </c>
      <c r="H28" s="181" t="s">
        <v>238</v>
      </c>
      <c r="N28" s="178"/>
      <c r="O28" s="178" t="s">
        <v>51</v>
      </c>
      <c r="P28" s="178"/>
      <c r="Q28" s="179" t="n">
        <v>1000</v>
      </c>
      <c r="R28" s="179" t="n">
        <f aca="false">Q28*$Q$14</f>
        <v>100000</v>
      </c>
    </row>
    <row r="29" customFormat="false" ht="31.3" hidden="false" customHeight="false" outlineLevel="0" collapsed="false">
      <c r="H29" s="166" t="s">
        <v>141</v>
      </c>
      <c r="N29" s="178"/>
      <c r="O29" s="178" t="s">
        <v>53</v>
      </c>
      <c r="P29" s="178"/>
      <c r="Q29" s="179" t="n">
        <v>1000</v>
      </c>
      <c r="R29" s="179" t="n">
        <f aca="false">Q29*$Q$14</f>
        <v>100000</v>
      </c>
    </row>
    <row r="30" customFormat="false" ht="16.4" hidden="false" customHeight="false" outlineLevel="0" collapsed="false">
      <c r="H30" s="166" t="s">
        <v>143</v>
      </c>
      <c r="N30" s="178"/>
      <c r="O30" s="178"/>
      <c r="P30" s="178"/>
      <c r="Q30" s="179" t="n">
        <f aca="false">SUM(Q27:Q29)</f>
        <v>2010</v>
      </c>
      <c r="R30" s="179" t="n">
        <f aca="false">SUM(R27:R29)</f>
        <v>201000</v>
      </c>
    </row>
    <row r="31" customFormat="false" ht="16.4" hidden="false" customHeight="false" outlineLevel="0" collapsed="false">
      <c r="H31" s="166" t="s">
        <v>145</v>
      </c>
    </row>
    <row r="32" customFormat="false" ht="16.4" hidden="false" customHeight="false" outlineLevel="0" collapsed="false">
      <c r="H32" s="181" t="s">
        <v>147</v>
      </c>
    </row>
    <row r="33" customFormat="false" ht="14.25" hidden="false" customHeight="false" outlineLevel="0" collapsed="false">
      <c r="K33" s="0" t="s">
        <v>31</v>
      </c>
      <c r="L33" s="0" t="s">
        <v>261</v>
      </c>
      <c r="M33" s="0" t="s">
        <v>35</v>
      </c>
      <c r="N33" s="0" t="s">
        <v>33</v>
      </c>
    </row>
  </sheetData>
  <mergeCells count="3">
    <mergeCell ref="D1:I1"/>
    <mergeCell ref="M1:O1"/>
    <mergeCell ref="Q1:S1"/>
  </mergeCells>
  <conditionalFormatting sqref="J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5:I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:J10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:I1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3:K10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4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J3" activeCellId="0" sqref="J3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48.45"/>
    <col collapsed="false" customWidth="true" hidden="false" outlineLevel="0" max="3" min="3" style="0" width="11.54"/>
    <col collapsed="false" customWidth="true" hidden="false" outlineLevel="0" max="8" min="8" style="0" width="41.45"/>
    <col collapsed="false" customWidth="true" hidden="false" outlineLevel="0" max="10" min="10" style="0" width="9.45"/>
    <col collapsed="false" customWidth="true" hidden="false" outlineLevel="0" max="14" min="14" style="0" width="18.45"/>
    <col collapsed="false" customWidth="true" hidden="false" outlineLevel="0" max="15" min="15" style="0" width="11.27"/>
    <col collapsed="false" customWidth="true" hidden="false" outlineLevel="0" max="16" min="16" style="0" width="4.82"/>
    <col collapsed="false" customWidth="true" hidden="false" outlineLevel="0" max="17" min="17" style="0" width="22.54"/>
    <col collapsed="false" customWidth="true" hidden="false" outlineLevel="0" max="18" min="18" style="0" width="11.18"/>
    <col collapsed="false" customWidth="true" hidden="false" outlineLevel="0" max="19" min="19" style="0" width="11.27"/>
  </cols>
  <sheetData>
    <row r="1" customFormat="false" ht="14.25" hidden="false" customHeight="false" outlineLevel="0" collapsed="false">
      <c r="C1" s="40" t="s">
        <v>243</v>
      </c>
      <c r="D1" s="172" t="s">
        <v>244</v>
      </c>
      <c r="E1" s="172"/>
      <c r="F1" s="172"/>
      <c r="G1" s="172"/>
      <c r="H1" s="172"/>
      <c r="I1" s="172"/>
      <c r="M1" s="44" t="s">
        <v>245</v>
      </c>
      <c r="N1" s="44"/>
      <c r="O1" s="44"/>
      <c r="Q1" s="44" t="s">
        <v>1</v>
      </c>
      <c r="R1" s="44"/>
      <c r="S1" s="44"/>
    </row>
    <row r="2" customFormat="false" ht="14.25" hidden="false" customHeight="false" outlineLevel="0" collapsed="false">
      <c r="B2" s="38" t="s">
        <v>246</v>
      </c>
      <c r="C2" s="40"/>
      <c r="D2" s="40" t="n">
        <v>0</v>
      </c>
      <c r="E2" s="40" t="n">
        <v>1</v>
      </c>
      <c r="F2" s="40" t="n">
        <v>2</v>
      </c>
      <c r="G2" s="40" t="n">
        <v>3</v>
      </c>
      <c r="H2" s="40" t="n">
        <v>4</v>
      </c>
      <c r="I2" s="40" t="n">
        <v>5</v>
      </c>
      <c r="J2" s="40" t="s">
        <v>245</v>
      </c>
      <c r="K2" s="40" t="s">
        <v>1</v>
      </c>
      <c r="M2" s="40" t="s">
        <v>247</v>
      </c>
      <c r="N2" s="40" t="s">
        <v>248</v>
      </c>
      <c r="O2" s="40" t="s">
        <v>249</v>
      </c>
      <c r="Q2" s="40" t="s">
        <v>247</v>
      </c>
      <c r="R2" s="40" t="s">
        <v>248</v>
      </c>
      <c r="S2" s="40" t="s">
        <v>249</v>
      </c>
    </row>
    <row r="3" customFormat="false" ht="16.4" hidden="false" customHeight="false" outlineLevel="0" collapsed="false">
      <c r="B3" s="40" t="s">
        <v>9</v>
      </c>
      <c r="C3" s="40" t="n">
        <v>5</v>
      </c>
      <c r="D3" s="173"/>
      <c r="E3" s="173"/>
      <c r="F3" s="173"/>
      <c r="G3" s="173"/>
      <c r="H3" s="173"/>
      <c r="I3" s="173" t="n">
        <f aca="false">I2*C3</f>
        <v>25</v>
      </c>
      <c r="J3" s="174" t="n">
        <f aca="false">K3/C3</f>
        <v>5</v>
      </c>
      <c r="K3" s="128" t="n">
        <f aca="false">SUM(D3:I3)</f>
        <v>25</v>
      </c>
      <c r="M3" s="40" t="n">
        <v>5</v>
      </c>
      <c r="N3" s="40" t="n">
        <v>5</v>
      </c>
      <c r="O3" s="40" t="n">
        <v>1</v>
      </c>
      <c r="Q3" s="40" t="n">
        <f aca="false">C3*M3</f>
        <v>25</v>
      </c>
      <c r="R3" s="40" t="n">
        <f aca="false">C3*N3</f>
        <v>25</v>
      </c>
      <c r="S3" s="40" t="n">
        <f aca="false">C3*O3</f>
        <v>5</v>
      </c>
    </row>
    <row r="4" customFormat="false" ht="16.4" hidden="false" customHeight="false" outlineLevel="0" collapsed="false">
      <c r="B4" s="40" t="s">
        <v>11</v>
      </c>
      <c r="C4" s="40" t="n">
        <v>10</v>
      </c>
      <c r="D4" s="173"/>
      <c r="E4" s="173"/>
      <c r="F4" s="173" t="n">
        <f aca="false">C4*F2</f>
        <v>20</v>
      </c>
      <c r="G4" s="173"/>
      <c r="H4" s="173"/>
      <c r="I4" s="173"/>
      <c r="J4" s="174" t="n">
        <f aca="false">K4/C4</f>
        <v>2</v>
      </c>
      <c r="K4" s="128" t="n">
        <f aca="false">SUM(D4:I4)</f>
        <v>20</v>
      </c>
      <c r="M4" s="40" t="n">
        <v>4</v>
      </c>
      <c r="N4" s="40" t="n">
        <v>4</v>
      </c>
      <c r="O4" s="40" t="n">
        <v>4</v>
      </c>
      <c r="Q4" s="40" t="n">
        <f aca="false">C4*M4</f>
        <v>40</v>
      </c>
      <c r="R4" s="40" t="n">
        <f aca="false">C4*N4</f>
        <v>40</v>
      </c>
      <c r="S4" s="40" t="n">
        <f aca="false">C4*O4</f>
        <v>40</v>
      </c>
    </row>
    <row r="5" customFormat="false" ht="16.4" hidden="false" customHeight="false" outlineLevel="0" collapsed="false">
      <c r="B5" s="40" t="s">
        <v>13</v>
      </c>
      <c r="C5" s="40" t="n">
        <v>100</v>
      </c>
      <c r="D5" s="173"/>
      <c r="E5" s="173"/>
      <c r="F5" s="173"/>
      <c r="G5" s="173" t="n">
        <f aca="false">C5*G2</f>
        <v>300</v>
      </c>
      <c r="H5" s="173"/>
      <c r="I5" s="173"/>
      <c r="J5" s="174" t="n">
        <f aca="false">K5/C5</f>
        <v>3</v>
      </c>
      <c r="K5" s="128" t="n">
        <f aca="false">SUM(D5:I5)</f>
        <v>300</v>
      </c>
      <c r="M5" s="40" t="n">
        <v>4</v>
      </c>
      <c r="N5" s="40" t="n">
        <v>4</v>
      </c>
      <c r="O5" s="40" t="n">
        <v>4</v>
      </c>
      <c r="Q5" s="40" t="n">
        <f aca="false">C5*M5</f>
        <v>400</v>
      </c>
      <c r="R5" s="40" t="n">
        <f aca="false">C5*N5</f>
        <v>400</v>
      </c>
      <c r="S5" s="40" t="n">
        <f aca="false">C5*O5</f>
        <v>400</v>
      </c>
    </row>
    <row r="6" customFormat="false" ht="16.4" hidden="false" customHeight="false" outlineLevel="0" collapsed="false">
      <c r="B6" s="40" t="s">
        <v>250</v>
      </c>
      <c r="C6" s="40" t="n">
        <v>100</v>
      </c>
      <c r="D6" s="173"/>
      <c r="E6" s="173"/>
      <c r="F6" s="173"/>
      <c r="G6" s="173"/>
      <c r="H6" s="173" t="n">
        <f aca="false">C6*H2</f>
        <v>400</v>
      </c>
      <c r="I6" s="173"/>
      <c r="J6" s="174" t="n">
        <f aca="false">K6/C6</f>
        <v>4</v>
      </c>
      <c r="K6" s="128" t="n">
        <f aca="false">SUM(D6:I6)</f>
        <v>400</v>
      </c>
      <c r="M6" s="40" t="n">
        <v>0</v>
      </c>
      <c r="N6" s="40" t="n">
        <v>0</v>
      </c>
      <c r="O6" s="40" t="n">
        <v>0</v>
      </c>
      <c r="Q6" s="40" t="n">
        <f aca="false">C6*M6</f>
        <v>0</v>
      </c>
      <c r="R6" s="40" t="n">
        <f aca="false">C6*N6</f>
        <v>0</v>
      </c>
      <c r="S6" s="40" t="n">
        <f aca="false">C6*O6</f>
        <v>0</v>
      </c>
    </row>
    <row r="7" customFormat="false" ht="16.4" hidden="false" customHeight="false" outlineLevel="0" collapsed="false">
      <c r="B7" s="40" t="s">
        <v>17</v>
      </c>
      <c r="C7" s="40" t="n">
        <v>100</v>
      </c>
      <c r="D7" s="173"/>
      <c r="E7" s="173"/>
      <c r="F7" s="173"/>
      <c r="G7" s="173"/>
      <c r="H7" s="173"/>
      <c r="I7" s="173" t="n">
        <f aca="false">C7*I2</f>
        <v>500</v>
      </c>
      <c r="J7" s="174" t="n">
        <f aca="false">K7/C7</f>
        <v>5</v>
      </c>
      <c r="K7" s="128" t="n">
        <f aca="false">SUM(D7:I7)</f>
        <v>500</v>
      </c>
      <c r="M7" s="40" t="n">
        <v>4</v>
      </c>
      <c r="N7" s="40" t="n">
        <v>4</v>
      </c>
      <c r="O7" s="40" t="n">
        <v>2</v>
      </c>
      <c r="Q7" s="40" t="n">
        <f aca="false">C7*M7</f>
        <v>400</v>
      </c>
      <c r="R7" s="40" t="n">
        <f aca="false">C7*N7</f>
        <v>400</v>
      </c>
      <c r="S7" s="40" t="n">
        <f aca="false">C7*O7</f>
        <v>200</v>
      </c>
    </row>
    <row r="8" customFormat="false" ht="16.4" hidden="false" customHeight="false" outlineLevel="0" collapsed="false">
      <c r="B8" s="40" t="s">
        <v>19</v>
      </c>
      <c r="C8" s="40" t="n">
        <v>100</v>
      </c>
      <c r="D8" s="173"/>
      <c r="E8" s="173"/>
      <c r="F8" s="173" t="n">
        <f aca="false">C8*F2</f>
        <v>200</v>
      </c>
      <c r="G8" s="173"/>
      <c r="H8" s="173"/>
      <c r="I8" s="173"/>
      <c r="J8" s="174" t="n">
        <f aca="false">K8/C8</f>
        <v>2</v>
      </c>
      <c r="K8" s="128" t="n">
        <f aca="false">SUM(D8:I8)</f>
        <v>200</v>
      </c>
      <c r="M8" s="40" t="n">
        <v>4</v>
      </c>
      <c r="N8" s="40" t="n">
        <v>5</v>
      </c>
      <c r="O8" s="40" t="n">
        <v>2</v>
      </c>
      <c r="Q8" s="40" t="n">
        <f aca="false">C8*M8</f>
        <v>400</v>
      </c>
      <c r="R8" s="40" t="n">
        <f aca="false">C8*N8</f>
        <v>500</v>
      </c>
      <c r="S8" s="40" t="n">
        <f aca="false">C8*O8</f>
        <v>200</v>
      </c>
    </row>
    <row r="9" customFormat="false" ht="16.4" hidden="false" customHeight="false" outlineLevel="0" collapsed="false">
      <c r="B9" s="40" t="s">
        <v>20</v>
      </c>
      <c r="C9" s="40" t="n">
        <v>100</v>
      </c>
      <c r="D9" s="173"/>
      <c r="E9" s="173"/>
      <c r="F9" s="173"/>
      <c r="G9" s="173" t="n">
        <f aca="false">C9*G2</f>
        <v>300</v>
      </c>
      <c r="H9" s="173"/>
      <c r="I9" s="173"/>
      <c r="J9" s="174" t="n">
        <f aca="false">K9/C9</f>
        <v>3</v>
      </c>
      <c r="K9" s="128" t="n">
        <f aca="false">SUM(D9:I9)</f>
        <v>300</v>
      </c>
      <c r="M9" s="40" t="n">
        <v>4</v>
      </c>
      <c r="N9" s="40" t="n">
        <v>5</v>
      </c>
      <c r="O9" s="40" t="n">
        <v>2</v>
      </c>
      <c r="Q9" s="40" t="n">
        <f aca="false">C9*M9</f>
        <v>400</v>
      </c>
      <c r="R9" s="40" t="n">
        <f aca="false">C9*N9</f>
        <v>500</v>
      </c>
      <c r="S9" s="40" t="n">
        <f aca="false">C9*O9</f>
        <v>200</v>
      </c>
    </row>
    <row r="10" customFormat="false" ht="16.4" hidden="false" customHeight="false" outlineLevel="0" collapsed="false">
      <c r="B10" s="40" t="s">
        <v>22</v>
      </c>
      <c r="C10" s="40" t="n">
        <v>1000</v>
      </c>
      <c r="D10" s="173"/>
      <c r="E10" s="173"/>
      <c r="F10" s="173"/>
      <c r="G10" s="173"/>
      <c r="H10" s="173" t="n">
        <f aca="false">C10*H2</f>
        <v>4000</v>
      </c>
      <c r="I10" s="173"/>
      <c r="J10" s="174" t="n">
        <f aca="false">K10/C10</f>
        <v>4</v>
      </c>
      <c r="K10" s="128" t="n">
        <f aca="false">SUM(D10:I10)</f>
        <v>4000</v>
      </c>
      <c r="M10" s="40" t="n">
        <v>0</v>
      </c>
      <c r="N10" s="40" t="n">
        <v>0</v>
      </c>
      <c r="O10" s="40"/>
      <c r="Q10" s="40" t="n">
        <f aca="false">C10*M10</f>
        <v>0</v>
      </c>
      <c r="R10" s="40" t="n">
        <f aca="false">IF(N10=0,0,C10*(5-N10+1))</f>
        <v>0</v>
      </c>
      <c r="S10" s="40" t="n">
        <f aca="false">C10*O10</f>
        <v>0</v>
      </c>
    </row>
    <row r="11" customFormat="false" ht="14.25" hidden="false" customHeight="false" outlineLevel="0" collapsed="false">
      <c r="B11" s="40" t="s">
        <v>24</v>
      </c>
      <c r="C11" s="40"/>
      <c r="D11" s="173"/>
      <c r="E11" s="173"/>
      <c r="F11" s="173"/>
      <c r="G11" s="173"/>
      <c r="H11" s="173"/>
      <c r="I11" s="173"/>
      <c r="J11" s="128" t="n">
        <f aca="false">SUM(J3:J10)</f>
        <v>28</v>
      </c>
      <c r="K11" s="40"/>
      <c r="M11" s="128" t="n">
        <f aca="false">SUM(M3:M10)</f>
        <v>25</v>
      </c>
      <c r="N11" s="128" t="n">
        <f aca="false">SUM(N3:N10)</f>
        <v>27</v>
      </c>
      <c r="O11" s="128" t="n">
        <f aca="false">SUM(O3:O10)</f>
        <v>15</v>
      </c>
      <c r="Q11" s="128" t="n">
        <f aca="false">SUM(Q3:Q10)</f>
        <v>1665</v>
      </c>
      <c r="R11" s="128" t="n">
        <f aca="false">SUM(R3:R10)</f>
        <v>1865</v>
      </c>
      <c r="S11" s="128" t="n">
        <f aca="false">SUM(S3:S10)</f>
        <v>1045</v>
      </c>
    </row>
    <row r="12" customFormat="false" ht="14.25" hidden="false" customHeight="false" outlineLevel="0" collapsed="false">
      <c r="B12" s="40" t="s">
        <v>25</v>
      </c>
      <c r="C12" s="40"/>
      <c r="D12" s="40"/>
      <c r="E12" s="40"/>
      <c r="F12" s="40"/>
      <c r="G12" s="40"/>
      <c r="H12" s="40"/>
      <c r="I12" s="40"/>
      <c r="J12" s="40"/>
      <c r="K12" s="128" t="n">
        <f aca="false">SUM(K3:K10)</f>
        <v>5745</v>
      </c>
      <c r="M12" s="40"/>
      <c r="N12" s="40"/>
      <c r="O12" s="40"/>
      <c r="Q12" s="40"/>
      <c r="R12" s="40"/>
      <c r="S12" s="40"/>
    </row>
    <row r="13" customFormat="false" ht="14.25" hidden="false" customHeight="false" outlineLevel="0" collapsed="false">
      <c r="M13" s="175" t="n">
        <f aca="false">COUNT(C3:C10)*5</f>
        <v>40</v>
      </c>
    </row>
    <row r="14" customFormat="false" ht="14.25" hidden="false" customHeight="false" outlineLevel="0" collapsed="false">
      <c r="B14" s="40" t="s">
        <v>251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176"/>
      <c r="N14" s="40"/>
      <c r="O14" s="40"/>
      <c r="P14" s="40"/>
      <c r="Q14" s="174" t="n">
        <f aca="false">M11*4</f>
        <v>100</v>
      </c>
      <c r="R14" s="174" t="n">
        <f aca="false">N11*4</f>
        <v>108</v>
      </c>
      <c r="S14" s="174" t="n">
        <f aca="false">O11*4</f>
        <v>60</v>
      </c>
    </row>
    <row r="15" customFormat="false" ht="16.4" hidden="false" customHeight="false" outlineLevel="0" collapsed="false">
      <c r="B15" s="40" t="s">
        <v>250</v>
      </c>
      <c r="C15" s="40" t="n">
        <v>100</v>
      </c>
      <c r="D15" s="173"/>
      <c r="E15" s="173"/>
      <c r="F15" s="173"/>
      <c r="G15" s="173"/>
      <c r="H15" s="173" t="n">
        <f aca="false">C15*H11</f>
        <v>0</v>
      </c>
      <c r="I15" s="173"/>
      <c r="J15" s="174" t="n">
        <f aca="false">K15/C15</f>
        <v>0</v>
      </c>
      <c r="K15" s="128" t="n">
        <f aca="false">SUM(D15:I15)</f>
        <v>0</v>
      </c>
      <c r="L15" s="40"/>
      <c r="M15" s="40" t="n">
        <v>0</v>
      </c>
      <c r="N15" s="40" t="n">
        <v>5</v>
      </c>
      <c r="O15" s="40" t="n">
        <v>5</v>
      </c>
      <c r="P15" s="40"/>
      <c r="Q15" s="40" t="n">
        <f aca="false">C15*M15</f>
        <v>0</v>
      </c>
      <c r="R15" s="40" t="n">
        <f aca="false">C15*N15</f>
        <v>500</v>
      </c>
      <c r="S15" s="40" t="n">
        <f aca="false">C15*O15</f>
        <v>500</v>
      </c>
    </row>
    <row r="16" customFormat="false" ht="14.25" hidden="false" customHeight="false" outlineLevel="0" collapsed="false">
      <c r="B16" s="40" t="s">
        <v>252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</row>
    <row r="17" customFormat="false" ht="14.25" hidden="false" customHeight="false" outlineLevel="0" collapsed="false">
      <c r="E17" s="0" t="s">
        <v>258</v>
      </c>
    </row>
    <row r="19" customFormat="false" ht="14.25" hidden="true" customHeight="false" outlineLevel="0" collapsed="false">
      <c r="B19" s="0" t="s">
        <v>253</v>
      </c>
    </row>
    <row r="20" customFormat="false" ht="14.25" hidden="true" customHeight="false" outlineLevel="0" collapsed="false">
      <c r="B20" s="177"/>
      <c r="N20" s="178"/>
      <c r="O20" s="178"/>
      <c r="P20" s="178"/>
      <c r="Q20" s="178" t="s">
        <v>254</v>
      </c>
      <c r="R20" s="178" t="s">
        <v>29</v>
      </c>
    </row>
    <row r="21" customFormat="false" ht="14.25" hidden="true" customHeight="false" outlineLevel="0" collapsed="false">
      <c r="B21" s="177" t="s">
        <v>255</v>
      </c>
      <c r="N21" s="178" t="s">
        <v>256</v>
      </c>
      <c r="O21" s="178" t="s">
        <v>37</v>
      </c>
      <c r="P21" s="178"/>
      <c r="Q21" s="179" t="n">
        <v>10</v>
      </c>
      <c r="R21" s="179" t="n">
        <f aca="false">Q21*$Q$14</f>
        <v>1000</v>
      </c>
    </row>
    <row r="22" customFormat="false" ht="14.25" hidden="true" customHeight="false" outlineLevel="0" collapsed="false">
      <c r="B22" s="177" t="s">
        <v>257</v>
      </c>
      <c r="N22" s="178"/>
      <c r="O22" s="178" t="s">
        <v>51</v>
      </c>
      <c r="P22" s="178"/>
      <c r="Q22" s="179" t="n">
        <v>1000</v>
      </c>
      <c r="R22" s="179" t="n">
        <f aca="false">Q22*$Q$14</f>
        <v>100000</v>
      </c>
    </row>
    <row r="23" customFormat="false" ht="14.25" hidden="true" customHeight="false" outlineLevel="0" collapsed="false">
      <c r="B23" s="0" t="n">
        <v>0</v>
      </c>
      <c r="C23" s="0" t="s">
        <v>259</v>
      </c>
      <c r="N23" s="178"/>
      <c r="O23" s="178" t="s">
        <v>53</v>
      </c>
      <c r="P23" s="178"/>
      <c r="Q23" s="179" t="n">
        <v>1000</v>
      </c>
      <c r="R23" s="179" t="n">
        <f aca="false">Q23*$Q$14</f>
        <v>100000</v>
      </c>
    </row>
    <row r="24" customFormat="false" ht="14.25" hidden="true" customHeight="false" outlineLevel="0" collapsed="false">
      <c r="B24" s="0" t="n">
        <v>1</v>
      </c>
      <c r="C24" s="0" t="s">
        <v>260</v>
      </c>
      <c r="N24" s="178"/>
      <c r="O24" s="178"/>
      <c r="P24" s="178"/>
      <c r="Q24" s="179" t="n">
        <f aca="false">SUM(Q21:Q23)</f>
        <v>2010</v>
      </c>
      <c r="R24" s="179" t="n">
        <f aca="false">SUM(R21:R23)</f>
        <v>201000</v>
      </c>
    </row>
    <row r="25" customFormat="false" ht="14.25" hidden="true" customHeight="false" outlineLevel="0" collapsed="false">
      <c r="B25" s="0" t="n">
        <v>2</v>
      </c>
      <c r="C25" s="0" t="str">
        <f aca="false">B25&amp;"  person"</f>
        <v>2  person</v>
      </c>
    </row>
    <row r="26" customFormat="false" ht="14.25" hidden="true" customHeight="false" outlineLevel="0" collapsed="false">
      <c r="B26" s="0" t="n">
        <v>3</v>
      </c>
      <c r="C26" s="0" t="str">
        <f aca="false">B26&amp;"  person"</f>
        <v>3  person</v>
      </c>
      <c r="H26" s="180" t="s">
        <v>135</v>
      </c>
      <c r="N26" s="178"/>
      <c r="O26" s="178"/>
      <c r="P26" s="178"/>
      <c r="Q26" s="178" t="s">
        <v>254</v>
      </c>
      <c r="R26" s="178" t="s">
        <v>29</v>
      </c>
    </row>
    <row r="27" customFormat="false" ht="14.25" hidden="true" customHeight="false" outlineLevel="0" collapsed="false">
      <c r="B27" s="0" t="n">
        <v>4</v>
      </c>
      <c r="C27" s="0" t="str">
        <f aca="false">B27&amp;"  person"</f>
        <v>4  person</v>
      </c>
      <c r="H27" s="165" t="s">
        <v>137</v>
      </c>
      <c r="N27" s="178" t="s">
        <v>60</v>
      </c>
      <c r="O27" s="178" t="s">
        <v>37</v>
      </c>
      <c r="P27" s="178"/>
      <c r="Q27" s="179" t="n">
        <v>10</v>
      </c>
      <c r="R27" s="179" t="n">
        <f aca="false">Q27*$Q$14</f>
        <v>1000</v>
      </c>
    </row>
    <row r="28" customFormat="false" ht="16.4" hidden="true" customHeight="false" outlineLevel="0" collapsed="false">
      <c r="B28" s="0" t="n">
        <v>5</v>
      </c>
      <c r="C28" s="0" t="str">
        <f aca="false">B28&amp;"  person"</f>
        <v>5  person</v>
      </c>
      <c r="H28" s="181" t="s">
        <v>238</v>
      </c>
      <c r="N28" s="178"/>
      <c r="O28" s="178" t="s">
        <v>51</v>
      </c>
      <c r="P28" s="178"/>
      <c r="Q28" s="179" t="n">
        <v>1000</v>
      </c>
      <c r="R28" s="179" t="n">
        <f aca="false">Q28*$Q$14</f>
        <v>100000</v>
      </c>
    </row>
    <row r="29" customFormat="false" ht="31.3" hidden="true" customHeight="false" outlineLevel="0" collapsed="false">
      <c r="H29" s="166" t="s">
        <v>141</v>
      </c>
      <c r="N29" s="178"/>
      <c r="O29" s="178" t="s">
        <v>53</v>
      </c>
      <c r="P29" s="178"/>
      <c r="Q29" s="179" t="n">
        <v>1000</v>
      </c>
      <c r="R29" s="179" t="n">
        <f aca="false">Q29*$Q$14</f>
        <v>100000</v>
      </c>
    </row>
    <row r="30" customFormat="false" ht="16.4" hidden="true" customHeight="false" outlineLevel="0" collapsed="false">
      <c r="H30" s="166" t="s">
        <v>143</v>
      </c>
      <c r="N30" s="178"/>
      <c r="O30" s="178"/>
      <c r="P30" s="178"/>
      <c r="Q30" s="179" t="n">
        <f aca="false">SUM(Q27:Q29)</f>
        <v>2010</v>
      </c>
      <c r="R30" s="179" t="n">
        <f aca="false">SUM(R27:R29)</f>
        <v>201000</v>
      </c>
    </row>
    <row r="31" customFormat="false" ht="16.4" hidden="true" customHeight="false" outlineLevel="0" collapsed="false">
      <c r="H31" s="166" t="s">
        <v>145</v>
      </c>
    </row>
    <row r="32" customFormat="false" ht="16.4" hidden="true" customHeight="false" outlineLevel="0" collapsed="false">
      <c r="H32" s="181" t="s">
        <v>147</v>
      </c>
    </row>
    <row r="33" customFormat="false" ht="14.25" hidden="true" customHeight="false" outlineLevel="0" collapsed="false">
      <c r="K33" s="0" t="s">
        <v>31</v>
      </c>
      <c r="L33" s="0" t="s">
        <v>261</v>
      </c>
      <c r="M33" s="0" t="s">
        <v>35</v>
      </c>
      <c r="N33" s="0" t="s">
        <v>33</v>
      </c>
    </row>
    <row r="34" customFormat="false" ht="14.25" hidden="false" customHeight="false" outlineLevel="0" collapsed="false">
      <c r="H34" s="40" t="s">
        <v>262</v>
      </c>
      <c r="I34" s="40"/>
      <c r="J34" s="40"/>
      <c r="K34" s="37" t="s">
        <v>263</v>
      </c>
      <c r="L34" s="37"/>
      <c r="M34" s="37"/>
      <c r="N34" s="37"/>
      <c r="O34" s="37"/>
      <c r="P34" s="37"/>
    </row>
    <row r="35" customFormat="false" ht="14.25" hidden="false" customHeight="false" outlineLevel="0" collapsed="false">
      <c r="H35" s="40" t="s">
        <v>31</v>
      </c>
      <c r="I35" s="40" t="s">
        <v>35</v>
      </c>
      <c r="J35" s="40" t="s">
        <v>33</v>
      </c>
      <c r="K35" s="40" t="s">
        <v>4</v>
      </c>
      <c r="L35" s="40" t="s">
        <v>5</v>
      </c>
      <c r="M35" s="40" t="s">
        <v>6</v>
      </c>
      <c r="N35" s="40" t="s">
        <v>7</v>
      </c>
      <c r="O35" s="40" t="s">
        <v>8</v>
      </c>
      <c r="P35" s="40" t="s">
        <v>36</v>
      </c>
    </row>
    <row r="36" customFormat="false" ht="14.25" hidden="false" customHeight="true" outlineLevel="0" collapsed="false">
      <c r="H36" s="37" t="s">
        <v>37</v>
      </c>
      <c r="I36" s="182" t="s">
        <v>38</v>
      </c>
      <c r="J36" s="40" t="s">
        <v>39</v>
      </c>
      <c r="K36" s="40"/>
      <c r="L36" s="40"/>
      <c r="M36" s="40"/>
      <c r="N36" s="40"/>
      <c r="O36" s="40"/>
      <c r="P36" s="40" t="n">
        <f aca="false">SUM(K36:O36)</f>
        <v>0</v>
      </c>
    </row>
    <row r="37" customFormat="false" ht="14.25" hidden="false" customHeight="false" outlineLevel="0" collapsed="false">
      <c r="H37" s="37"/>
      <c r="I37" s="182"/>
      <c r="J37" s="40" t="s">
        <v>40</v>
      </c>
      <c r="K37" s="40"/>
      <c r="L37" s="40"/>
      <c r="M37" s="40"/>
      <c r="N37" s="40"/>
      <c r="O37" s="40"/>
      <c r="P37" s="40" t="n">
        <f aca="false">SUM(K37:O37)</f>
        <v>0</v>
      </c>
    </row>
    <row r="38" customFormat="false" ht="14.25" hidden="false" customHeight="false" outlineLevel="0" collapsed="false">
      <c r="H38" s="37"/>
      <c r="I38" s="182"/>
      <c r="J38" s="40" t="s">
        <v>41</v>
      </c>
      <c r="K38" s="40"/>
      <c r="L38" s="40"/>
      <c r="M38" s="40"/>
      <c r="N38" s="40"/>
      <c r="O38" s="40"/>
      <c r="P38" s="40" t="n">
        <f aca="false">SUM(K38:O38)</f>
        <v>0</v>
      </c>
    </row>
    <row r="39" customFormat="false" ht="14.25" hidden="false" customHeight="true" outlineLevel="0" collapsed="false">
      <c r="H39" s="37"/>
      <c r="I39" s="182" t="s">
        <v>42</v>
      </c>
      <c r="J39" s="40" t="s">
        <v>43</v>
      </c>
      <c r="K39" s="40"/>
      <c r="L39" s="40"/>
      <c r="M39" s="40"/>
      <c r="N39" s="40"/>
      <c r="O39" s="40"/>
      <c r="P39" s="40" t="n">
        <f aca="false">SUM(K39:O39)</f>
        <v>0</v>
      </c>
    </row>
    <row r="40" customFormat="false" ht="14.25" hidden="false" customHeight="false" outlineLevel="0" collapsed="false">
      <c r="H40" s="37"/>
      <c r="I40" s="182"/>
      <c r="J40" s="40" t="s">
        <v>44</v>
      </c>
      <c r="K40" s="40"/>
      <c r="L40" s="40"/>
      <c r="M40" s="40"/>
      <c r="N40" s="40"/>
      <c r="O40" s="40"/>
      <c r="P40" s="40" t="n">
        <f aca="false">SUM(K40:O40)</f>
        <v>0</v>
      </c>
    </row>
    <row r="41" customFormat="false" ht="14.25" hidden="false" customHeight="false" outlineLevel="0" collapsed="false">
      <c r="H41" s="37"/>
      <c r="I41" s="182"/>
      <c r="J41" s="40" t="s">
        <v>45</v>
      </c>
      <c r="K41" s="40"/>
      <c r="L41" s="40"/>
      <c r="M41" s="40"/>
      <c r="N41" s="40"/>
      <c r="O41" s="40"/>
      <c r="P41" s="40" t="n">
        <f aca="false">SUM(K41:O41)</f>
        <v>0</v>
      </c>
    </row>
    <row r="42" customFormat="false" ht="14.25" hidden="false" customHeight="true" outlineLevel="0" collapsed="false">
      <c r="H42" s="37"/>
      <c r="I42" s="182" t="s">
        <v>46</v>
      </c>
      <c r="J42" s="40" t="s">
        <v>47</v>
      </c>
      <c r="K42" s="40"/>
      <c r="L42" s="40"/>
      <c r="M42" s="40"/>
      <c r="N42" s="40"/>
      <c r="O42" s="40"/>
      <c r="P42" s="40" t="n">
        <f aca="false">SUM(K42:O42)</f>
        <v>0</v>
      </c>
    </row>
    <row r="43" customFormat="false" ht="14.25" hidden="false" customHeight="false" outlineLevel="0" collapsed="false">
      <c r="H43" s="37"/>
      <c r="I43" s="182"/>
      <c r="J43" s="40" t="s">
        <v>48</v>
      </c>
      <c r="K43" s="40"/>
      <c r="L43" s="40"/>
      <c r="M43" s="40"/>
      <c r="N43" s="40"/>
      <c r="O43" s="40"/>
      <c r="P43" s="40" t="n">
        <f aca="false">SUM(K43:O43)</f>
        <v>0</v>
      </c>
    </row>
    <row r="44" customFormat="false" ht="14.25" hidden="false" customHeight="false" outlineLevel="0" collapsed="false">
      <c r="H44" s="37"/>
      <c r="I44" s="182"/>
      <c r="J44" s="40" t="s">
        <v>49</v>
      </c>
      <c r="K44" s="40"/>
      <c r="L44" s="40"/>
      <c r="M44" s="40"/>
      <c r="N44" s="40"/>
      <c r="O44" s="40"/>
      <c r="P44" s="40" t="n">
        <f aca="false">SUM(K44:O44)</f>
        <v>0</v>
      </c>
    </row>
    <row r="45" customFormat="false" ht="14.25" hidden="false" customHeight="false" outlineLevel="0" collapsed="false">
      <c r="H45" s="40" t="s">
        <v>36</v>
      </c>
      <c r="I45" s="40"/>
      <c r="J45" s="40"/>
      <c r="K45" s="40" t="n">
        <f aca="false">SUM(K36:K44)</f>
        <v>0</v>
      </c>
      <c r="L45" s="40" t="n">
        <f aca="false">SUM(L36:L44)</f>
        <v>0</v>
      </c>
      <c r="M45" s="40" t="n">
        <f aca="false">SUM(M36:M44)</f>
        <v>0</v>
      </c>
      <c r="N45" s="40" t="n">
        <f aca="false">SUM(N36:N44)</f>
        <v>0</v>
      </c>
      <c r="O45" s="40" t="n">
        <f aca="false">SUM(O36:O44)</f>
        <v>0</v>
      </c>
      <c r="P45" s="38" t="n">
        <f aca="false">SUM(P36:P44)</f>
        <v>0</v>
      </c>
    </row>
  </sheetData>
  <mergeCells count="8">
    <mergeCell ref="D1:I1"/>
    <mergeCell ref="M1:O1"/>
    <mergeCell ref="Q1:S1"/>
    <mergeCell ref="K34:P34"/>
    <mergeCell ref="H36:H44"/>
    <mergeCell ref="I36:I38"/>
    <mergeCell ref="I39:I41"/>
    <mergeCell ref="I42:I44"/>
  </mergeCells>
  <conditionalFormatting sqref="J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5:I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3:J10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:I1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3:K10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6" colorId="64" zoomScale="70" zoomScaleNormal="70" zoomScalePageLayoutView="100" workbookViewId="0">
      <selection pane="topLeft" activeCell="J3" activeCellId="0" sqref="J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58.18"/>
    <col collapsed="false" customWidth="true" hidden="false" outlineLevel="0" max="4" min="4" style="0" width="10.18"/>
    <col collapsed="false" customWidth="true" hidden="false" outlineLevel="0" max="5" min="5" style="0" width="12.73"/>
    <col collapsed="false" customWidth="true" hidden="false" outlineLevel="0" max="7" min="7" style="0" width="17.45"/>
    <col collapsed="false" customWidth="true" hidden="false" outlineLevel="0" max="9" min="8" style="0" width="8.82"/>
  </cols>
  <sheetData>
    <row r="1" customFormat="false" ht="14.25" hidden="false" customHeight="false" outlineLevel="0" collapsed="false">
      <c r="G1" s="178"/>
      <c r="H1" s="178"/>
      <c r="I1" s="178"/>
      <c r="J1" s="178" t="s">
        <v>254</v>
      </c>
      <c r="K1" s="178" t="s">
        <v>29</v>
      </c>
    </row>
    <row r="2" customFormat="false" ht="14.25" hidden="false" customHeight="false" outlineLevel="0" collapsed="false">
      <c r="G2" s="178" t="s">
        <v>256</v>
      </c>
      <c r="H2" s="178" t="s">
        <v>37</v>
      </c>
      <c r="I2" s="178"/>
      <c r="J2" s="179" t="n">
        <v>10</v>
      </c>
      <c r="K2" s="179" t="n">
        <f aca="false">J2*$Q$14</f>
        <v>0</v>
      </c>
    </row>
    <row r="3" customFormat="false" ht="14.25" hidden="false" customHeight="false" outlineLevel="0" collapsed="false">
      <c r="G3" s="178"/>
      <c r="H3" s="178" t="s">
        <v>51</v>
      </c>
      <c r="I3" s="178"/>
      <c r="J3" s="179" t="n">
        <v>1000</v>
      </c>
      <c r="K3" s="179" t="n">
        <f aca="false">J3*$Q$14</f>
        <v>0</v>
      </c>
    </row>
    <row r="4" customFormat="false" ht="14.25" hidden="false" customHeight="false" outlineLevel="0" collapsed="false">
      <c r="G4" s="178"/>
      <c r="H4" s="178" t="s">
        <v>53</v>
      </c>
      <c r="I4" s="178"/>
      <c r="J4" s="179" t="n">
        <v>1000</v>
      </c>
      <c r="K4" s="179" t="n">
        <f aca="false">J4*$Q$14</f>
        <v>0</v>
      </c>
    </row>
    <row r="5" customFormat="false" ht="14.25" hidden="false" customHeight="false" outlineLevel="0" collapsed="false">
      <c r="G5" s="178"/>
      <c r="H5" s="178"/>
      <c r="I5" s="178"/>
      <c r="J5" s="179" t="n">
        <f aca="false">SUM(J2:J4)</f>
        <v>2010</v>
      </c>
      <c r="K5" s="179" t="n">
        <f aca="false">SUM(K2:K4)</f>
        <v>0</v>
      </c>
    </row>
    <row r="7" customFormat="false" ht="14.25" hidden="false" customHeight="false" outlineLevel="0" collapsed="false">
      <c r="A7" s="180" t="s">
        <v>135</v>
      </c>
      <c r="G7" s="178"/>
      <c r="H7" s="178"/>
      <c r="I7" s="178"/>
      <c r="J7" s="178" t="s">
        <v>254</v>
      </c>
      <c r="K7" s="178" t="s">
        <v>29</v>
      </c>
    </row>
    <row r="8" customFormat="false" ht="14.25" hidden="false" customHeight="false" outlineLevel="0" collapsed="false">
      <c r="A8" s="165" t="s">
        <v>137</v>
      </c>
      <c r="G8" s="178" t="s">
        <v>60</v>
      </c>
      <c r="H8" s="178" t="s">
        <v>37</v>
      </c>
      <c r="I8" s="178"/>
      <c r="J8" s="179" t="n">
        <v>10</v>
      </c>
      <c r="K8" s="179" t="n">
        <f aca="false">J8*$Q$14</f>
        <v>0</v>
      </c>
    </row>
    <row r="9" customFormat="false" ht="16.4" hidden="false" customHeight="false" outlineLevel="0" collapsed="false">
      <c r="A9" s="181" t="s">
        <v>238</v>
      </c>
      <c r="G9" s="178"/>
      <c r="H9" s="178" t="s">
        <v>51</v>
      </c>
      <c r="I9" s="178"/>
      <c r="J9" s="179" t="n">
        <v>1000</v>
      </c>
      <c r="K9" s="179" t="n">
        <f aca="false">J9*$Q$14</f>
        <v>0</v>
      </c>
    </row>
    <row r="10" customFormat="false" ht="31.3" hidden="false" customHeight="false" outlineLevel="0" collapsed="false">
      <c r="A10" s="166" t="s">
        <v>141</v>
      </c>
      <c r="G10" s="178"/>
      <c r="H10" s="178" t="s">
        <v>53</v>
      </c>
      <c r="I10" s="178"/>
      <c r="J10" s="179" t="n">
        <v>1000</v>
      </c>
      <c r="K10" s="179" t="n">
        <f aca="false">J10*$Q$14</f>
        <v>0</v>
      </c>
    </row>
    <row r="11" customFormat="false" ht="16.4" hidden="false" customHeight="false" outlineLevel="0" collapsed="false">
      <c r="A11" s="166" t="s">
        <v>143</v>
      </c>
      <c r="G11" s="178"/>
      <c r="H11" s="178"/>
      <c r="I11" s="178"/>
      <c r="J11" s="179" t="n">
        <f aca="false">SUM(J8:J10)</f>
        <v>2010</v>
      </c>
      <c r="K11" s="179" t="n">
        <f aca="false">SUM(K8:K10)</f>
        <v>0</v>
      </c>
    </row>
    <row r="12" customFormat="false" ht="16.4" hidden="false" customHeight="false" outlineLevel="0" collapsed="false">
      <c r="A12" s="166" t="s">
        <v>145</v>
      </c>
    </row>
    <row r="13" customFormat="false" ht="16.4" hidden="false" customHeight="false" outlineLevel="0" collapsed="false">
      <c r="A13" s="181" t="s">
        <v>147</v>
      </c>
    </row>
    <row r="14" customFormat="false" ht="14.25" hidden="false" customHeight="false" outlineLevel="0" collapsed="false">
      <c r="D14" s="0" t="s">
        <v>31</v>
      </c>
      <c r="E14" s="0" t="s">
        <v>261</v>
      </c>
      <c r="F14" s="0" t="s">
        <v>35</v>
      </c>
      <c r="G14" s="0" t="s">
        <v>33</v>
      </c>
    </row>
    <row r="15" customFormat="false" ht="14.25" hidden="false" customHeight="false" outlineLevel="0" collapsed="false">
      <c r="D15" s="0" t="s">
        <v>264</v>
      </c>
    </row>
    <row r="16" customFormat="false" ht="14.25" hidden="false" customHeight="false" outlineLevel="0" collapsed="false">
      <c r="D16" s="0" t="s">
        <v>265</v>
      </c>
    </row>
    <row r="17" customFormat="false" ht="14.25" hidden="false" customHeight="false" outlineLevel="0" collapsed="false">
      <c r="D17" s="40"/>
      <c r="E17" s="40"/>
      <c r="F17" s="40"/>
      <c r="G17" s="37" t="s">
        <v>263</v>
      </c>
      <c r="H17" s="37"/>
      <c r="I17" s="37"/>
      <c r="J17" s="37"/>
      <c r="K17" s="37"/>
      <c r="L17" s="37"/>
    </row>
    <row r="18" customFormat="false" ht="14.25" hidden="false" customHeight="false" outlineLevel="0" collapsed="false">
      <c r="D18" s="40" t="s">
        <v>31</v>
      </c>
      <c r="E18" s="40" t="s">
        <v>35</v>
      </c>
      <c r="F18" s="40" t="s">
        <v>33</v>
      </c>
      <c r="G18" s="40" t="s">
        <v>4</v>
      </c>
      <c r="H18" s="40" t="s">
        <v>5</v>
      </c>
      <c r="I18" s="40" t="s">
        <v>6</v>
      </c>
      <c r="J18" s="40" t="s">
        <v>7</v>
      </c>
      <c r="K18" s="40" t="s">
        <v>8</v>
      </c>
      <c r="L18" s="40" t="s">
        <v>36</v>
      </c>
    </row>
    <row r="19" customFormat="false" ht="14.25" hidden="false" customHeight="true" outlineLevel="0" collapsed="false">
      <c r="D19" s="37" t="s">
        <v>37</v>
      </c>
      <c r="E19" s="182" t="s">
        <v>38</v>
      </c>
      <c r="F19" s="40" t="s">
        <v>39</v>
      </c>
      <c r="G19" s="40"/>
      <c r="H19" s="40"/>
      <c r="I19" s="40"/>
      <c r="J19" s="40"/>
      <c r="K19" s="40"/>
      <c r="L19" s="40" t="n">
        <f aca="false">SUM(G19:K19)</f>
        <v>0</v>
      </c>
    </row>
    <row r="20" customFormat="false" ht="14.25" hidden="false" customHeight="false" outlineLevel="0" collapsed="false">
      <c r="D20" s="37"/>
      <c r="E20" s="182"/>
      <c r="F20" s="40" t="s">
        <v>40</v>
      </c>
      <c r="G20" s="40"/>
      <c r="H20" s="40"/>
      <c r="I20" s="40"/>
      <c r="J20" s="40"/>
      <c r="K20" s="40"/>
      <c r="L20" s="40" t="n">
        <f aca="false">SUM(G20:K20)</f>
        <v>0</v>
      </c>
    </row>
    <row r="21" customFormat="false" ht="14.25" hidden="false" customHeight="false" outlineLevel="0" collapsed="false">
      <c r="D21" s="37"/>
      <c r="E21" s="182"/>
      <c r="F21" s="40" t="s">
        <v>41</v>
      </c>
      <c r="G21" s="40"/>
      <c r="H21" s="40"/>
      <c r="I21" s="40"/>
      <c r="J21" s="40"/>
      <c r="K21" s="40"/>
      <c r="L21" s="40" t="n">
        <f aca="false">SUM(G21:K21)</f>
        <v>0</v>
      </c>
    </row>
    <row r="22" customFormat="false" ht="14.25" hidden="false" customHeight="true" outlineLevel="0" collapsed="false">
      <c r="D22" s="37"/>
      <c r="E22" s="182" t="s">
        <v>42</v>
      </c>
      <c r="F22" s="40" t="s">
        <v>43</v>
      </c>
      <c r="G22" s="40"/>
      <c r="H22" s="40"/>
      <c r="I22" s="40"/>
      <c r="J22" s="40"/>
      <c r="K22" s="40"/>
      <c r="L22" s="40" t="n">
        <f aca="false">SUM(G22:K22)</f>
        <v>0</v>
      </c>
    </row>
    <row r="23" customFormat="false" ht="14.25" hidden="false" customHeight="false" outlineLevel="0" collapsed="false">
      <c r="D23" s="37"/>
      <c r="E23" s="182"/>
      <c r="F23" s="40" t="s">
        <v>44</v>
      </c>
      <c r="G23" s="40"/>
      <c r="H23" s="40"/>
      <c r="I23" s="40"/>
      <c r="J23" s="40"/>
      <c r="K23" s="40"/>
      <c r="L23" s="40" t="n">
        <f aca="false">SUM(G23:K23)</f>
        <v>0</v>
      </c>
    </row>
    <row r="24" customFormat="false" ht="14.25" hidden="false" customHeight="false" outlineLevel="0" collapsed="false">
      <c r="D24" s="37"/>
      <c r="E24" s="182"/>
      <c r="F24" s="40" t="s">
        <v>45</v>
      </c>
      <c r="G24" s="40"/>
      <c r="H24" s="40"/>
      <c r="I24" s="40"/>
      <c r="J24" s="40"/>
      <c r="K24" s="40"/>
      <c r="L24" s="40" t="n">
        <f aca="false">SUM(G24:K24)</f>
        <v>0</v>
      </c>
    </row>
    <row r="25" customFormat="false" ht="14.25" hidden="false" customHeight="true" outlineLevel="0" collapsed="false">
      <c r="D25" s="37"/>
      <c r="E25" s="182" t="s">
        <v>46</v>
      </c>
      <c r="F25" s="40" t="s">
        <v>47</v>
      </c>
      <c r="G25" s="40"/>
      <c r="H25" s="40"/>
      <c r="I25" s="40"/>
      <c r="J25" s="40"/>
      <c r="K25" s="40"/>
      <c r="L25" s="40" t="n">
        <f aca="false">SUM(G25:K25)</f>
        <v>0</v>
      </c>
    </row>
    <row r="26" customFormat="false" ht="14.25" hidden="false" customHeight="false" outlineLevel="0" collapsed="false">
      <c r="D26" s="37"/>
      <c r="E26" s="182"/>
      <c r="F26" s="40" t="s">
        <v>48</v>
      </c>
      <c r="G26" s="40"/>
      <c r="H26" s="40"/>
      <c r="I26" s="40"/>
      <c r="J26" s="40"/>
      <c r="K26" s="40"/>
      <c r="L26" s="40" t="n">
        <f aca="false">SUM(G26:K26)</f>
        <v>0</v>
      </c>
    </row>
    <row r="27" customFormat="false" ht="14.25" hidden="false" customHeight="false" outlineLevel="0" collapsed="false">
      <c r="D27" s="37"/>
      <c r="E27" s="182"/>
      <c r="F27" s="40" t="s">
        <v>49</v>
      </c>
      <c r="G27" s="40"/>
      <c r="H27" s="40"/>
      <c r="I27" s="40"/>
      <c r="J27" s="40"/>
      <c r="K27" s="40"/>
      <c r="L27" s="40" t="n">
        <f aca="false">SUM(G27:K27)</f>
        <v>0</v>
      </c>
    </row>
    <row r="28" customFormat="false" ht="14.25" hidden="false" customHeight="false" outlineLevel="0" collapsed="false">
      <c r="D28" s="40" t="s">
        <v>36</v>
      </c>
      <c r="E28" s="40"/>
      <c r="F28" s="40"/>
      <c r="G28" s="40" t="n">
        <f aca="false">SUM(G19:G27)</f>
        <v>0</v>
      </c>
      <c r="H28" s="40" t="n">
        <f aca="false">SUM(H19:H27)</f>
        <v>0</v>
      </c>
      <c r="I28" s="40" t="n">
        <f aca="false">SUM(I19:I27)</f>
        <v>0</v>
      </c>
      <c r="J28" s="40" t="n">
        <f aca="false">SUM(J19:J27)</f>
        <v>0</v>
      </c>
      <c r="K28" s="40" t="n">
        <f aca="false">SUM(K19:K27)</f>
        <v>0</v>
      </c>
      <c r="L28" s="38" t="n">
        <f aca="false">SUM(L19:L27)</f>
        <v>0</v>
      </c>
    </row>
  </sheetData>
  <mergeCells count="5">
    <mergeCell ref="G17:L17"/>
    <mergeCell ref="D19:D27"/>
    <mergeCell ref="E19:E21"/>
    <mergeCell ref="E22:E24"/>
    <mergeCell ref="E25:E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2025-02-01T10:19:58Z</dcterms:created>
  <dc:creator>Firdaus Ali</dc:creator>
  <dc:description/>
  <dc:language>en-US</dc:language>
  <cp:lastModifiedBy>Firdaus Ali</cp:lastModifiedBy>
  <dcterms:modified xsi:type="dcterms:W3CDTF">2025-02-05T17:20:09Z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
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"/>
    </mc:Choice>
  </mc:AlternateContent>
  <xr:revisionPtr revIDLastSave="0" documentId="13_ncr:1_{C4B213D5-0F26-4BDD-B498-EA6B9D38ED79}" xr6:coauthVersionLast="47" xr6:coauthVersionMax="47" xr10:uidLastSave="{00000000-0000-0000-0000-000000000000}"/>
  <bookViews>
    <workbookView xWindow="-108" yWindow="-108" windowWidth="23256" windowHeight="12456" tabRatio="500" firstSheet="9" activeTab="15" xr2:uid="{00000000-000D-0000-FFFF-FFFF00000000}"/>
  </bookViews>
  <sheets>
    <sheet name="Fiscal Years" sheetId="1" r:id="rId1"/>
    <sheet name="Accounts" sheetId="2" r:id="rId2"/>
    <sheet name="Journal Entries" sheetId="3" r:id="rId3"/>
    <sheet name="Departments" sheetId="4" r:id="rId4"/>
    <sheet name="Employees" sheetId="5" r:id="rId5"/>
    <sheet name="Segments" sheetId="7" r:id="rId6"/>
    <sheet name="Raw Material" sheetId="17" r:id="rId7"/>
    <sheet name="Trading" sheetId="18" r:id="rId8"/>
    <sheet name="Products" sheetId="9" r:id="rId9"/>
    <sheet name="Services" sheetId="8" r:id="rId10"/>
    <sheet name="Assets" sheetId="11" r:id="rId11"/>
    <sheet name="Customers" sheetId="12" r:id="rId12"/>
    <sheet name="Suppliers" sheetId="13" r:id="rId13"/>
    <sheet name="Invoices" sheetId="20" r:id="rId14"/>
    <sheet name="Presets" sheetId="15" r:id="rId15"/>
    <sheet name="Vehicles" sheetId="19" r:id="rId16"/>
  </sheets>
  <definedNames>
    <definedName name="_xlnm._FilterDatabase" localSheetId="2" hidden="1">'Journal Entries'!$A$1:$E$5</definedName>
    <definedName name="_xlnm._FilterDatabase" localSheetId="8" hidden="1">Products!$A$1:$F$1</definedName>
    <definedName name="_xlnm._FilterDatabase" localSheetId="6" hidden="1">'Raw Material'!$A$1:$H$1</definedName>
    <definedName name="_xlnm._FilterDatabase" localSheetId="7" hidden="1">Trading!$A$1:$H$1</definedName>
    <definedName name="arial" localSheetId="13">Invoices!$1:$1048576</definedName>
    <definedName name="ari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<sst xmlns="http://schemas.openxmlformats.org/spreadsheetml/2006/main" count="169" uniqueCount="136">
  <si>
    <t>year</t>
  </si>
  <si>
    <t>account_name</t>
  </si>
  <si>
    <t>parent_account</t>
  </si>
  <si>
    <t>account_type</t>
  </si>
  <si>
    <t>account_number</t>
  </si>
  <si>
    <t>Bank Muscat</t>
  </si>
  <si>
    <t>Bank</t>
  </si>
  <si>
    <t>journal_entry</t>
  </si>
  <si>
    <t>account</t>
  </si>
  <si>
    <t>posting_date</t>
  </si>
  <si>
    <t>debit</t>
  </si>
  <si>
    <t>credit</t>
  </si>
  <si>
    <t>department_name</t>
  </si>
  <si>
    <t>employee_name</t>
  </si>
  <si>
    <t>gender</t>
  </si>
  <si>
    <t>date_of_birth</t>
  </si>
  <si>
    <t>date_of_joining</t>
  </si>
  <si>
    <t>cell_number</t>
  </si>
  <si>
    <t>email</t>
  </si>
  <si>
    <t>role</t>
  </si>
  <si>
    <t>department</t>
  </si>
  <si>
    <t>salary_mode</t>
  </si>
  <si>
    <t>ctc</t>
  </si>
  <si>
    <t>bank_name</t>
  </si>
  <si>
    <t>bank_ac_no</t>
  </si>
  <si>
    <t>item_group_name</t>
  </si>
  <si>
    <t>parent_item_group</t>
  </si>
  <si>
    <t>item_code</t>
  </si>
  <si>
    <t>Litre</t>
  </si>
  <si>
    <t>Unit</t>
  </si>
  <si>
    <t>asset_name</t>
  </si>
  <si>
    <t>asset_category</t>
  </si>
  <si>
    <t>location</t>
  </si>
  <si>
    <t>gross_purchase_amount</t>
  </si>
  <si>
    <t>purchase_date</t>
  </si>
  <si>
    <t>opening_accumulated_depreciation</t>
  </si>
  <si>
    <t>mobile_no</t>
  </si>
  <si>
    <t>supplier_name</t>
  </si>
  <si>
    <t>supplier_type</t>
  </si>
  <si>
    <t>invoice_type</t>
  </si>
  <si>
    <t>party</t>
  </si>
  <si>
    <t>due_date</t>
  </si>
  <si>
    <t>Types</t>
  </si>
  <si>
    <t>Genders</t>
  </si>
  <si>
    <t>Salary Mode</t>
  </si>
  <si>
    <t>uom</t>
  </si>
  <si>
    <t>roles</t>
  </si>
  <si>
    <t>Accumulated Depreciation</t>
  </si>
  <si>
    <t>Male</t>
  </si>
  <si>
    <t>ceo</t>
  </si>
  <si>
    <t>Asset Received But Not Billed</t>
  </si>
  <si>
    <t>Female</t>
  </si>
  <si>
    <t>Cash</t>
  </si>
  <si>
    <t>Box</t>
  </si>
  <si>
    <t>financial-manager</t>
  </si>
  <si>
    <t>Cheque</t>
  </si>
  <si>
    <t>Nos</t>
  </si>
  <si>
    <t>financial-clerk</t>
  </si>
  <si>
    <t>Meter</t>
  </si>
  <si>
    <t>hr-manager</t>
  </si>
  <si>
    <t>Chargeable</t>
  </si>
  <si>
    <t>Centimeter</t>
  </si>
  <si>
    <t>hr-clerk</t>
  </si>
  <si>
    <t>Capital Work in Progress</t>
  </si>
  <si>
    <t>Inch</t>
  </si>
  <si>
    <t>manufacturing-manager</t>
  </si>
  <si>
    <t>Cost of Goods Sold</t>
  </si>
  <si>
    <t>Rod</t>
  </si>
  <si>
    <t>manufacturing-foreman</t>
  </si>
  <si>
    <t>Depreciation</t>
  </si>
  <si>
    <t>Gram</t>
  </si>
  <si>
    <t>manufacturing-technician</t>
  </si>
  <si>
    <t>Equity</t>
  </si>
  <si>
    <t>project-manager</t>
  </si>
  <si>
    <t>Expense Account</t>
  </si>
  <si>
    <t>Gallon (UK)</t>
  </si>
  <si>
    <t>project-assignee</t>
  </si>
  <si>
    <t>Expenses Included In Asset Valuation</t>
  </si>
  <si>
    <t>garage-foreman</t>
  </si>
  <si>
    <t>Expenses Included In Valuation</t>
  </si>
  <si>
    <t>garage-technician</t>
  </si>
  <si>
    <t>Fixed Asset</t>
  </si>
  <si>
    <t>pos-manager</t>
  </si>
  <si>
    <t>Income Account</t>
  </si>
  <si>
    <t>pos-clerk</t>
  </si>
  <si>
    <t>Payable</t>
  </si>
  <si>
    <t>accounting-manager</t>
  </si>
  <si>
    <t>Receivable</t>
  </si>
  <si>
    <t>accounting-clerk</t>
  </si>
  <si>
    <t>Round Off</t>
  </si>
  <si>
    <t>inventory-manager</t>
  </si>
  <si>
    <t>Stock</t>
  </si>
  <si>
    <t>inventory-clerk</t>
  </si>
  <si>
    <t>Stock Adjustment</t>
  </si>
  <si>
    <t>sales-manager</t>
  </si>
  <si>
    <t>Stock Received But Not Billed</t>
  </si>
  <si>
    <t>sales-clerk</t>
  </si>
  <si>
    <t>Service Received But Not Billed</t>
  </si>
  <si>
    <t>procurement-manager</t>
  </si>
  <si>
    <t>Tax</t>
  </si>
  <si>
    <t>procurement-clerk</t>
  </si>
  <si>
    <t>Temporary</t>
  </si>
  <si>
    <t>super-user</t>
  </si>
  <si>
    <t>administrator</t>
  </si>
  <si>
    <t>Support</t>
  </si>
  <si>
    <t>Administrator</t>
  </si>
  <si>
    <t>Item Group</t>
  </si>
  <si>
    <t>Opening Stock Quantity</t>
  </si>
  <si>
    <t>Selling Rate</t>
  </si>
  <si>
    <t>Raw Material Item Name</t>
  </si>
  <si>
    <t>Raw Material Item Code</t>
  </si>
  <si>
    <t>Raw Material Quantity</t>
  </si>
  <si>
    <t>Raw Material UOM</t>
  </si>
  <si>
    <t>Barcode</t>
  </si>
  <si>
    <t>Purchase Rate</t>
  </si>
  <si>
    <t>UOM</t>
  </si>
  <si>
    <t>Item Name</t>
  </si>
  <si>
    <t>Item Code</t>
  </si>
  <si>
    <t>Customer Name</t>
  </si>
  <si>
    <t>Customer Type</t>
  </si>
  <si>
    <t>Mobile Number</t>
  </si>
  <si>
    <t>paid_amount</t>
  </si>
  <si>
    <t>grand_total</t>
  </si>
  <si>
    <t>system</t>
  </si>
  <si>
    <t>Is Recycable</t>
  </si>
  <si>
    <t>plate_number</t>
  </si>
  <si>
    <t>plate_code</t>
  </si>
  <si>
    <t>chassis</t>
  </si>
  <si>
    <t>make</t>
  </si>
  <si>
    <t>model</t>
  </si>
  <si>
    <t>customer</t>
  </si>
  <si>
    <t>insurance_company</t>
  </si>
  <si>
    <t>insurance_issue_date</t>
  </si>
  <si>
    <t>insurance_expiry_date</t>
  </si>
  <si>
    <t>registration_issue_date</t>
  </si>
  <si>
    <t>registration_expiry_date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</si>
</sst>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809]dd\ mmmm\ yyyy;@"/>
    <numFmt numFmtId="165" formatCode="yyyy\-mm\-dd"/>
    <numFmt numFmtId="166" formatCode="_(* #,##0_);_(* \(#,##0\);_(* &quot;-&quot;??_);_(@_)"/>
    <numFmt numFmtId="167" formatCode="yyyy\-mm\-dd;@"/>
  </numFmts>
  <fonts count="10">
    <font>
      <sz val="11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0"/>
      <color rgb="FF000000"/>
      <name val="MegaCashArial"/>
      <family val="34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theme="1"/>
      <name val="Arial"/>
      <family val="2"/>
    </font>
    <font>
      <sz val="8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3" fillId="0" borderId="0" xfId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4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6" fontId="5" fillId="0" borderId="0" xfId="2" applyNumberFormat="1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/>
  </cellXfs>
  <cellStyles count="4">
    <cellStyle name="Comma" xfId="2" builtinId="3"/>
    <cellStyle name="Hyperlink" xfId="1" builtinId="8"/>
    <cellStyle name="Normal" xfId="0" builtinId="0"/>
    <cellStyle name="Normal 2" xfId="3" xr:uid="{3C551399-7C1D-4777-AD02-7D62408BAA0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24" totalsRowShown="0">
  <autoFilter ref="A1:A24" xr:uid="{00000000-0009-0000-0100-000001000000}"/>
  <tableColumns count="1">
    <tableColumn id="1" xr3:uid="{00000000-0010-0000-0000-000001000000}" name="Typ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C1:C3" totalsRowShown="0">
  <autoFilter ref="C1:C3" xr:uid="{00000000-0009-0000-0100-000002000000}"/>
  <tableColumns count="1">
    <tableColumn id="1" xr3:uid="{00000000-0010-0000-0100-000001000000}" name="Gender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E1:E4" totalsRowShown="0">
  <autoFilter ref="E1:E4" xr:uid="{00000000-0009-0000-0100-000003000000}"/>
  <tableColumns count="1">
    <tableColumn id="1" xr3:uid="{00000000-0010-0000-0200-000001000000}" name="Salary M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I1:I25" totalsRowShown="0">
  <autoFilter ref="I1:I25" xr:uid="{00000000-0009-0000-0100-000004000000}"/>
  <tableColumns count="1">
    <tableColumn id="1" xr3:uid="{00000000-0010-0000-0300-000001000000}" name="ro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81" zoomScaleNormal="81" workbookViewId="0">
      <selection activeCell="A2" sqref="A2"/>
    </sheetView>
  </sheetViews>
  <sheetFormatPr defaultColWidth="11.5546875" defaultRowHeight="15"/>
  <cols>
    <col min="1" max="16384" width="11.5546875" style="1"/>
  </cols>
  <sheetData>
    <row r="1" spans="1:1">
      <c r="A1" s="1" t="s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zoomScale="90" zoomScaleNormal="90" workbookViewId="0">
      <selection activeCell="A2" sqref="A2"/>
    </sheetView>
  </sheetViews>
  <sheetFormatPr defaultColWidth="8.6640625" defaultRowHeight="14.4"/>
  <cols>
    <col min="1" max="1" width="35.5546875" bestFit="1" customWidth="1"/>
    <col min="2" max="2" width="24.6640625" customWidth="1"/>
    <col min="3" max="3" width="16.44140625" customWidth="1"/>
    <col min="4" max="4" width="18.44140625" customWidth="1"/>
  </cols>
  <sheetData>
    <row r="1" spans="1:4" ht="19.5" customHeight="1">
      <c r="A1" t="s">
        <v>1</v>
      </c>
      <c r="B1" t="s">
        <v>2</v>
      </c>
      <c r="C1" t="s">
        <v>3</v>
      </c>
      <c r="D1" t="s">
        <v>4</v>
      </c>
    </row>
    <row r="2" spans="1:4" ht="19.5" customHeight="1"/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>
      <selection activeCell="A2" sqref="A2"/>
    </sheetView>
  </sheetViews>
  <sheetFormatPr defaultColWidth="8.6640625" defaultRowHeight="14.4"/>
  <cols>
    <col min="1" max="1" width="19" customWidth="1"/>
    <col min="2" max="2" width="34.6640625" bestFit="1" customWidth="1"/>
    <col min="3" max="3" width="18.6640625" style="11" customWidth="1"/>
    <col min="4" max="4" width="14.5546875" customWidth="1"/>
    <col min="5" max="5" width="10.44140625" bestFit="1" customWidth="1"/>
  </cols>
  <sheetData>
    <row r="1" spans="1:5">
      <c r="A1" t="s">
        <v>7</v>
      </c>
      <c r="B1" t="s">
        <v>8</v>
      </c>
      <c r="C1" s="11" t="s">
        <v>9</v>
      </c>
      <c r="D1" t="s">
        <v>10</v>
      </c>
      <c r="E1" t="s">
        <v>11</v>
      </c>
    </row>
    <row r="2" spans="1:5">
      <c r="D2" s="10"/>
      <c r="E2" s="10"/>
    </row>
    <row r="4" spans="1:5">
      <c r="E4" s="10"/>
    </row>
    <row r="5" spans="1:5">
      <c r="E5" s="10"/>
    </row>
  </sheetData>
  <autoFilter ref="A1:E5" xr:uid="{00000000-0001-0000-0200-000000000000}"/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zoomScale="90" zoomScaleNormal="90" workbookViewId="0">
      <selection activeCell="B8" sqref="B8"/>
    </sheetView>
  </sheetViews>
  <sheetFormatPr defaultColWidth="8.6640625" defaultRowHeight="14.4"/>
  <cols>
    <col min="1" max="1" width="30.5546875" customWidth="1"/>
    <col min="2" max="2" width="14.44140625" customWidth="1"/>
  </cols>
  <sheetData>
    <row r="1" spans="1:2">
      <c r="A1" t="s">
        <v>12</v>
      </c>
      <c r="B1" t="s">
        <v>123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8.6640625" defaultRowHeight="14.4"/>
  <cols>
    <col min="1" max="1" width="43.6640625" customWidth="1"/>
    <col min="2" max="2" width="13.5546875" customWidth="1"/>
    <col min="3" max="3" width="17.6640625" customWidth="1"/>
    <col min="4" max="4" width="18.6640625" customWidth="1"/>
    <col min="5" max="5" width="19" customWidth="1"/>
    <col min="6" max="6" width="21" customWidth="1"/>
    <col min="7" max="7" width="24.6640625" customWidth="1"/>
    <col min="8" max="8" width="37.44140625" customWidth="1"/>
    <col min="9" max="9" width="16" customWidth="1"/>
    <col min="10" max="10" width="11.5546875" customWidth="1"/>
    <col min="11" max="11" width="14" customWidth="1"/>
    <col min="12" max="12" width="27.6640625" style="27" customWidth="1"/>
  </cols>
  <sheetData>
    <row r="1" spans="1:12">
      <c r="A1" s="2" t="s">
        <v>13</v>
      </c>
      <c r="B1" s="2" t="s">
        <v>14</v>
      </c>
      <c r="C1" s="3" t="s">
        <v>15</v>
      </c>
      <c r="D1" s="3" t="s">
        <v>16</v>
      </c>
      <c r="E1" s="2" t="s">
        <v>17</v>
      </c>
      <c r="F1" t="s">
        <v>18</v>
      </c>
      <c r="G1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6" t="s">
        <v>24</v>
      </c>
    </row>
    <row r="2" spans="1:12">
      <c r="A2" s="6" t="s">
        <v>105</v>
      </c>
      <c r="B2" s="2" t="s">
        <v>48</v>
      </c>
      <c r="C2" s="3">
        <v>1</v>
      </c>
      <c r="D2" s="3">
        <v>367</v>
      </c>
      <c r="E2" s="2">
        <v>12345672</v>
      </c>
      <c r="F2" s="8" t="str">
        <f t="shared" ref="F2" si="0">E2&amp;"@mail.com"</f>
        <v>12345672@mail.com</v>
      </c>
      <c r="G2" s="6" t="s">
        <v>105</v>
      </c>
      <c r="H2" t="s">
        <v>104</v>
      </c>
      <c r="I2" t="s">
        <v>6</v>
      </c>
      <c r="J2" s="2">
        <v>210</v>
      </c>
      <c r="K2" t="s">
        <v>5</v>
      </c>
      <c r="L2" s="27">
        <v>389058954520012</v>
      </c>
    </row>
  </sheetData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Roles Error" error="Please select a valid role " xr:uid="{00000000-0002-0000-0400-000000000000}">
          <x14:formula1>
            <xm:f>Presets!$I$2:$I$25</xm:f>
          </x14:formula1>
          <x14:formula2>
            <xm:f>0</xm:f>
          </x14:formula2>
          <xm:sqref>G1:G962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zoomScale="90" zoomScaleNormal="90" workbookViewId="0">
      <selection activeCell="F29" sqref="F29"/>
    </sheetView>
  </sheetViews>
  <sheetFormatPr defaultColWidth="8.6640625" defaultRowHeight="14.4"/>
  <cols>
    <col min="1" max="1" width="28" customWidth="1"/>
    <col min="2" max="2" width="32.6640625" customWidth="1"/>
  </cols>
  <sheetData>
    <row r="1" spans="1:2">
      <c r="A1" t="s">
        <v>25</v>
      </c>
      <c r="B1" t="s">
        <v>26</v>
      </c>
    </row>
    <row r="2" spans="1:2">
      <c r="A2" s="7"/>
    </row>
    <row r="3" spans="1:2">
      <c r="A3" s="7"/>
    </row>
    <row r="4" spans="1:2">
      <c r="A4" s="7"/>
    </row>
    <row r="5" spans="1:2">
      <c r="A5" s="7"/>
    </row>
    <row r="6" spans="1:2">
      <c r="A6" s="7"/>
    </row>
    <row r="7" spans="1:2">
      <c r="A7" s="7"/>
    </row>
    <row r="8" spans="1:2">
      <c r="A8" s="7"/>
    </row>
    <row r="9" spans="1:2">
      <c r="A9" s="7"/>
    </row>
    <row r="10" spans="1:2">
      <c r="A10" s="7"/>
    </row>
    <row r="11" spans="1:2">
      <c r="A11" s="9"/>
    </row>
    <row r="12" spans="1:2">
      <c r="A12" s="7"/>
    </row>
    <row r="13" spans="1:2">
      <c r="A13" s="7"/>
    </row>
    <row r="14" spans="1:2">
      <c r="A14" s="7"/>
    </row>
    <row r="15" spans="1:2">
      <c r="A15" s="7"/>
    </row>
    <row r="16" spans="1:2">
      <c r="A16" s="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FC68-3866-4B53-B82D-AC812A1EEF62}">
  <dimension ref="A1:XFB1"/>
  <sheetViews>
    <sheetView zoomScale="90" zoomScaleNormal="90" workbookViewId="0">
      <selection activeCell="D1" sqref="D1"/>
    </sheetView>
  </sheetViews>
  <sheetFormatPr defaultColWidth="11.5546875" defaultRowHeight="13.8"/>
  <cols>
    <col min="1" max="1" width="25.33203125" style="13" customWidth="1"/>
    <col min="2" max="2" width="24.33203125" style="20" customWidth="1"/>
    <col min="3" max="3" width="36.88671875" style="13" customWidth="1"/>
    <col min="4" max="4" width="17.6640625" style="13" customWidth="1"/>
    <col min="5" max="5" width="22.44140625" style="13" bestFit="1" customWidth="1"/>
    <col min="6" max="6" width="22.44140625" style="13" customWidth="1"/>
    <col min="7" max="7" width="24.6640625" style="13" customWidth="1"/>
    <col min="8" max="8" width="17" style="13" customWidth="1"/>
    <col min="9" max="9" width="21.33203125" style="21" customWidth="1"/>
    <col min="10" max="16382" width="11.5546875" style="13"/>
    <col min="16383" max="16384" width="11.5546875" style="14"/>
  </cols>
  <sheetData>
    <row r="1" spans="1:9">
      <c r="A1" s="15" t="s">
        <v>116</v>
      </c>
      <c r="B1" s="19" t="s">
        <v>117</v>
      </c>
      <c r="C1" s="15" t="s">
        <v>106</v>
      </c>
      <c r="D1" s="15" t="s">
        <v>124</v>
      </c>
      <c r="E1" s="15" t="s">
        <v>107</v>
      </c>
      <c r="F1" s="15" t="s">
        <v>108</v>
      </c>
      <c r="G1" s="15" t="s">
        <v>114</v>
      </c>
      <c r="H1" s="15" t="s">
        <v>115</v>
      </c>
      <c r="I1" s="21" t="s">
        <v>113</v>
      </c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49AE-AF0F-4668-A81E-764A0CB4B708}">
  <dimension ref="A1:XFB1"/>
  <sheetViews>
    <sheetView zoomScale="90" zoomScaleNormal="90" workbookViewId="0">
      <selection activeCell="D1" sqref="D1"/>
    </sheetView>
  </sheetViews>
  <sheetFormatPr defaultColWidth="11.5546875" defaultRowHeight="13.8"/>
  <cols>
    <col min="1" max="1" width="28.109375" style="13" customWidth="1"/>
    <col min="2" max="2" width="24.33203125" style="20" customWidth="1"/>
    <col min="3" max="3" width="36.88671875" style="13" customWidth="1"/>
    <col min="4" max="4" width="15.33203125" style="13" customWidth="1"/>
    <col min="5" max="5" width="22.44140625" style="13" bestFit="1" customWidth="1"/>
    <col min="6" max="6" width="22.44140625" style="13" customWidth="1"/>
    <col min="7" max="7" width="24.6640625" style="13" customWidth="1"/>
    <col min="8" max="8" width="17" style="13" customWidth="1"/>
    <col min="9" max="9" width="21.6640625" style="21" customWidth="1"/>
    <col min="10" max="16382" width="11.5546875" style="13"/>
    <col min="16383" max="16384" width="11.5546875" style="14"/>
  </cols>
  <sheetData>
    <row r="1" spans="1:9">
      <c r="A1" s="15" t="s">
        <v>116</v>
      </c>
      <c r="B1" s="19" t="s">
        <v>117</v>
      </c>
      <c r="C1" s="15" t="s">
        <v>106</v>
      </c>
      <c r="D1" s="15" t="s">
        <v>124</v>
      </c>
      <c r="E1" s="15" t="s">
        <v>107</v>
      </c>
      <c r="F1" s="15" t="s">
        <v>108</v>
      </c>
      <c r="G1" s="15" t="s">
        <v>114</v>
      </c>
      <c r="H1" s="15" t="s">
        <v>115</v>
      </c>
      <c r="I1" s="21" t="s">
        <v>113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FC6"/>
  <sheetViews>
    <sheetView zoomScale="90" zoomScaleNormal="90" workbookViewId="0">
      <selection activeCell="C16" sqref="C16"/>
    </sheetView>
  </sheetViews>
  <sheetFormatPr defaultColWidth="11.5546875" defaultRowHeight="14.4"/>
  <cols>
    <col min="1" max="1" width="20.6640625" style="13" customWidth="1"/>
    <col min="2" max="2" width="16.88671875" style="20" customWidth="1"/>
    <col min="3" max="4" width="18.88671875" style="13" customWidth="1"/>
    <col min="5" max="5" width="22.44140625" style="13" bestFit="1" customWidth="1"/>
    <col min="6" max="7" width="17.33203125" style="13" customWidth="1"/>
    <col min="8" max="8" width="20.6640625" style="21" customWidth="1"/>
    <col min="9" max="9" width="22.44140625" style="13" customWidth="1"/>
    <col min="10" max="10" width="24" style="13" customWidth="1"/>
    <col min="11" max="12" width="22.33203125" style="13" customWidth="1"/>
    <col min="14" max="16383" width="11.5546875" style="13"/>
    <col min="16384" max="16384" width="11.5546875" style="14"/>
  </cols>
  <sheetData>
    <row r="1" spans="1:12">
      <c r="A1" s="15" t="s">
        <v>116</v>
      </c>
      <c r="B1" s="19" t="s">
        <v>117</v>
      </c>
      <c r="C1" s="15" t="s">
        <v>106</v>
      </c>
      <c r="D1" s="15" t="s">
        <v>124</v>
      </c>
      <c r="E1" s="15" t="s">
        <v>107</v>
      </c>
      <c r="F1" s="15" t="s">
        <v>108</v>
      </c>
      <c r="G1" s="15" t="s">
        <v>115</v>
      </c>
      <c r="H1" s="21" t="s">
        <v>113</v>
      </c>
      <c r="I1" s="15" t="s">
        <v>109</v>
      </c>
      <c r="J1" s="13" t="s">
        <v>110</v>
      </c>
      <c r="K1" s="13" t="s">
        <v>111</v>
      </c>
      <c r="L1" s="13" t="s">
        <v>112</v>
      </c>
    </row>
    <row r="6" spans="1:12">
      <c r="A6" s="15"/>
      <c r="B6" s="19"/>
      <c r="C6" s="15"/>
      <c r="D6" s="15"/>
      <c r="E6" s="15"/>
      <c r="F6" s="15"/>
      <c r="G6" s="15"/>
      <c r="I6" s="15"/>
      <c r="J6" s="15"/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="90" zoomScaleNormal="90" workbookViewId="0">
      <selection activeCell="E27" sqref="E27"/>
    </sheetView>
  </sheetViews>
  <sheetFormatPr defaultColWidth="8.6640625" defaultRowHeight="14.4"/>
  <cols>
    <col min="1" max="1" width="25" style="7" customWidth="1"/>
    <col min="2" max="2" width="21.44140625" style="7" customWidth="1"/>
    <col min="3" max="3" width="28.109375" style="7" customWidth="1"/>
    <col min="4" max="4" width="19.6640625" style="7" customWidth="1"/>
    <col min="5" max="5" width="19.109375" style="22" customWidth="1"/>
    <col min="6" max="6" width="26.33203125" style="7" customWidth="1"/>
    <col min="7" max="7" width="20.5546875" style="7" customWidth="1"/>
    <col min="8" max="8" width="24.33203125" style="7" customWidth="1"/>
    <col min="9" max="9" width="20" style="7" customWidth="1"/>
    <col min="11" max="16384" width="8.6640625" style="7"/>
  </cols>
  <sheetData>
    <row r="1" spans="1:9">
      <c r="A1" s="15" t="s">
        <v>116</v>
      </c>
      <c r="B1" s="19" t="s">
        <v>117</v>
      </c>
      <c r="C1" s="15" t="s">
        <v>106</v>
      </c>
      <c r="D1" s="15" t="s">
        <v>108</v>
      </c>
      <c r="E1" s="21" t="s">
        <v>113</v>
      </c>
      <c r="F1" s="15" t="s">
        <v>109</v>
      </c>
      <c r="G1" s="13" t="s">
        <v>110</v>
      </c>
      <c r="H1" s="13" t="s">
        <v>111</v>
      </c>
      <c r="I1" s="13" t="s">
        <v>112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zoomScale="81" zoomScaleNormal="81" workbookViewId="0">
      <selection activeCell="A2" sqref="A2"/>
    </sheetView>
  </sheetViews>
  <sheetFormatPr defaultColWidth="11.5546875" defaultRowHeight="15"/>
  <cols>
    <col min="1" max="1" width="24.33203125" style="4" customWidth="1"/>
    <col min="2" max="2" width="22.33203125" style="4" customWidth="1"/>
    <col min="3" max="3" width="19.6640625" style="4" customWidth="1"/>
    <col min="4" max="4" width="16" style="4" customWidth="1"/>
    <col min="5" max="5" width="29.5546875" style="4" customWidth="1"/>
    <col min="6" max="6" width="21" style="4" customWidth="1"/>
    <col min="7" max="7" width="41.44140625" style="4" customWidth="1"/>
    <col min="8" max="16384" width="11.5546875" style="4"/>
  </cols>
  <sheetData>
    <row r="1" spans="1:7">
      <c r="A1" s="4" t="s">
        <v>27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</row>
    <row r="2" spans="1:7">
      <c r="F2" s="5"/>
    </row>
    <row r="3" spans="1:7">
      <c r="F3" s="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zoomScale="81" zoomScaleNormal="81" workbookViewId="0">
      <selection activeCell="A2" sqref="A2:XFD3"/>
    </sheetView>
  </sheetViews>
  <sheetFormatPr defaultColWidth="11.5546875" defaultRowHeight="15"/>
  <cols>
    <col min="1" max="1" width="58" style="12" customWidth="1"/>
    <col min="2" max="2" width="16.6640625" style="23" customWidth="1"/>
    <col min="3" max="3" width="26.6640625" style="1" customWidth="1"/>
    <col min="4" max="16384" width="11.5546875" style="1"/>
  </cols>
  <sheetData>
    <row r="1" spans="1:3">
      <c r="A1" s="12" t="s">
        <v>118</v>
      </c>
      <c r="B1" s="23" t="s">
        <v>120</v>
      </c>
      <c r="C1" s="1" t="s">
        <v>119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zoomScale="81" zoomScaleNormal="81" workbookViewId="0">
      <selection activeCell="A2" sqref="A2:XFD3"/>
    </sheetView>
  </sheetViews>
  <sheetFormatPr defaultColWidth="11.5546875" defaultRowHeight="14.4"/>
  <cols>
    <col min="1" max="1" width="59.33203125" style="7" customWidth="1"/>
    <col min="2" max="2" width="32.6640625" style="25" customWidth="1"/>
    <col min="3" max="3" width="35.6640625" customWidth="1"/>
    <col min="4" max="4" width="19.6640625" customWidth="1"/>
  </cols>
  <sheetData>
    <row r="1" spans="1:3" ht="15.6">
      <c r="A1" s="12" t="s">
        <v>37</v>
      </c>
      <c r="B1" s="24" t="s">
        <v>36</v>
      </c>
      <c r="C1" s="1" t="s">
        <v>38</v>
      </c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704F-1DBA-48AA-A0F4-17718DAC9EAD}">
  <dimension ref="A1:F1"/>
  <sheetViews>
    <sheetView zoomScale="70" zoomScaleNormal="70" workbookViewId="0">
      <selection activeCell="B12" sqref="B12"/>
    </sheetView>
  </sheetViews>
  <sheetFormatPr defaultColWidth="11.5546875" defaultRowHeight="15"/>
  <cols>
    <col min="1" max="1" width="40.109375" style="16" customWidth="1"/>
    <col min="2" max="2" width="19.5546875" style="16" customWidth="1"/>
    <col min="3" max="4" width="19.6640625" style="17" customWidth="1"/>
    <col min="5" max="5" width="35.88671875" style="18" customWidth="1"/>
    <col min="6" max="6" width="18.21875" style="16" customWidth="1"/>
    <col min="7" max="16384" width="11.5546875" style="16"/>
  </cols>
  <sheetData>
    <row r="1" spans="1:6">
      <c r="A1" s="16" t="s">
        <v>40</v>
      </c>
      <c r="B1" s="16" t="s">
        <v>39</v>
      </c>
      <c r="C1" s="17" t="s">
        <v>9</v>
      </c>
      <c r="D1" s="17" t="s">
        <v>41</v>
      </c>
      <c r="E1" s="17" t="s">
        <v>122</v>
      </c>
      <c r="F1" s="16" t="s">
        <v>121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"/>
  <sheetViews>
    <sheetView zoomScale="90" zoomScaleNormal="90" workbookViewId="0">
      <selection activeCell="O26" sqref="O26"/>
    </sheetView>
  </sheetViews>
  <sheetFormatPr defaultColWidth="8.6640625" defaultRowHeight="14.4"/>
  <cols>
    <col min="1" max="1" width="37.33203125" customWidth="1"/>
    <col min="9" max="9" width="27" customWidth="1"/>
  </cols>
  <sheetData>
    <row r="1" spans="1:9" ht="18.75" customHeight="1">
      <c r="A1" t="s">
        <v>42</v>
      </c>
      <c r="C1" t="s">
        <v>43</v>
      </c>
      <c r="E1" t="s">
        <v>44</v>
      </c>
      <c r="G1" t="s">
        <v>45</v>
      </c>
      <c r="I1" t="s">
        <v>46</v>
      </c>
    </row>
    <row r="2" spans="1:9" ht="18.75" customHeight="1">
      <c r="A2" t="s">
        <v>47</v>
      </c>
      <c r="C2" t="s">
        <v>48</v>
      </c>
      <c r="E2" t="s">
        <v>6</v>
      </c>
      <c r="G2" t="s">
        <v>29</v>
      </c>
      <c r="I2" t="s">
        <v>49</v>
      </c>
    </row>
    <row r="3" spans="1:9" ht="18.75" customHeight="1">
      <c r="A3" t="s">
        <v>50</v>
      </c>
      <c r="C3" t="s">
        <v>51</v>
      </c>
      <c r="E3" t="s">
        <v>52</v>
      </c>
      <c r="G3" t="s">
        <v>53</v>
      </c>
      <c r="I3" t="s">
        <v>54</v>
      </c>
    </row>
    <row r="4" spans="1:9" ht="18.75" customHeight="1">
      <c r="A4" t="s">
        <v>6</v>
      </c>
      <c r="E4" t="s">
        <v>55</v>
      </c>
      <c r="G4" t="s">
        <v>56</v>
      </c>
      <c r="I4" t="s">
        <v>57</v>
      </c>
    </row>
    <row r="5" spans="1:9" ht="18.75" customHeight="1">
      <c r="A5" t="s">
        <v>52</v>
      </c>
      <c r="G5" t="s">
        <v>58</v>
      </c>
      <c r="I5" t="s">
        <v>59</v>
      </c>
    </row>
    <row r="6" spans="1:9" ht="18.75" customHeight="1">
      <c r="A6" t="s">
        <v>60</v>
      </c>
      <c r="G6" t="s">
        <v>61</v>
      </c>
      <c r="I6" t="s">
        <v>62</v>
      </c>
    </row>
    <row r="7" spans="1:9" ht="18.75" customHeight="1">
      <c r="A7" t="s">
        <v>63</v>
      </c>
      <c r="G7" t="s">
        <v>64</v>
      </c>
      <c r="I7" t="s">
        <v>65</v>
      </c>
    </row>
    <row r="8" spans="1:9" ht="18.75" customHeight="1">
      <c r="A8" t="s">
        <v>66</v>
      </c>
      <c r="G8" t="s">
        <v>67</v>
      </c>
      <c r="I8" t="s">
        <v>68</v>
      </c>
    </row>
    <row r="9" spans="1:9" ht="18.75" customHeight="1">
      <c r="A9" t="s">
        <v>69</v>
      </c>
      <c r="G9" t="s">
        <v>70</v>
      </c>
      <c r="I9" t="s">
        <v>71</v>
      </c>
    </row>
    <row r="10" spans="1:9" ht="18.75" customHeight="1">
      <c r="A10" t="s">
        <v>72</v>
      </c>
      <c r="G10" t="s">
        <v>28</v>
      </c>
      <c r="I10" t="s">
        <v>73</v>
      </c>
    </row>
    <row r="11" spans="1:9" ht="18.75" customHeight="1">
      <c r="A11" t="s">
        <v>74</v>
      </c>
      <c r="G11" t="s">
        <v>75</v>
      </c>
      <c r="I11" t="s">
        <v>76</v>
      </c>
    </row>
    <row r="12" spans="1:9" ht="18.75" customHeight="1">
      <c r="A12" t="s">
        <v>77</v>
      </c>
      <c r="I12" t="s">
        <v>78</v>
      </c>
    </row>
    <row r="13" spans="1:9" ht="18.75" customHeight="1">
      <c r="A13" t="s">
        <v>79</v>
      </c>
      <c r="I13" t="s">
        <v>80</v>
      </c>
    </row>
    <row r="14" spans="1:9" ht="18.75" customHeight="1">
      <c r="A14" t="s">
        <v>81</v>
      </c>
      <c r="I14" t="s">
        <v>82</v>
      </c>
    </row>
    <row r="15" spans="1:9" ht="18.75" customHeight="1">
      <c r="A15" t="s">
        <v>83</v>
      </c>
      <c r="I15" t="s">
        <v>84</v>
      </c>
    </row>
    <row r="16" spans="1:9" ht="18.75" customHeight="1">
      <c r="A16" t="s">
        <v>85</v>
      </c>
      <c r="I16" t="s">
        <v>86</v>
      </c>
    </row>
    <row r="17" spans="1:9" ht="18.75" customHeight="1">
      <c r="A17" t="s">
        <v>87</v>
      </c>
      <c r="I17" t="s">
        <v>88</v>
      </c>
    </row>
    <row r="18" spans="1:9" ht="18.75" customHeight="1">
      <c r="A18" t="s">
        <v>89</v>
      </c>
      <c r="I18" t="s">
        <v>90</v>
      </c>
    </row>
    <row r="19" spans="1:9" ht="18.75" customHeight="1">
      <c r="A19" t="s">
        <v>91</v>
      </c>
      <c r="I19" t="s">
        <v>92</v>
      </c>
    </row>
    <row r="20" spans="1:9" ht="18.75" customHeight="1">
      <c r="A20" t="s">
        <v>93</v>
      </c>
      <c r="I20" t="s">
        <v>94</v>
      </c>
    </row>
    <row r="21" spans="1:9" ht="18.75" customHeight="1">
      <c r="A21" t="s">
        <v>95</v>
      </c>
      <c r="I21" t="s">
        <v>96</v>
      </c>
    </row>
    <row r="22" spans="1:9" ht="18.75" customHeight="1">
      <c r="A22" t="s">
        <v>97</v>
      </c>
      <c r="I22" t="s">
        <v>98</v>
      </c>
    </row>
    <row r="23" spans="1:9" ht="18.75" customHeight="1">
      <c r="A23" t="s">
        <v>99</v>
      </c>
      <c r="I23" t="s">
        <v>100</v>
      </c>
    </row>
    <row r="24" spans="1:9" ht="18.75" customHeight="1">
      <c r="A24" t="s">
        <v>101</v>
      </c>
      <c r="I24" t="s">
        <v>102</v>
      </c>
    </row>
    <row r="25" spans="1:9">
      <c r="I25" t="s">
        <v>103</v>
      </c>
    </row>
  </sheetData>
  <dataValidations count="1">
    <dataValidation type="list" allowBlank="1" showInputMessage="1" showErrorMessage="1" errorTitle="Roles Error" error="Please select a valid role " sqref="G1:G1025" xr:uid="{00000000-0002-0000-0E00-000000000000}">
      <formula1>$I$2:$I$25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4">
    <tablePart r:id="rId1"/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7ED5-7504-4141-956C-6DCB4570F3E3}">
  <dimension ref="A1:L1"/>
  <sheetViews>
    <sheetView tabSelected="1" workbookViewId="0">
      <selection activeCell="J17" sqref="J17"/>
    </sheetView>
  </sheetViews>
  <sheetFormatPr defaultRowHeight="14.4"/>
  <cols>
    <col min="1" max="1" width="14.33203125" customWidth="1"/>
    <col min="2" max="2" width="13.77734375" customWidth="1"/>
    <col min="3" max="3" width="12.5546875" customWidth="1"/>
    <col min="8" max="8" width="18.88671875" customWidth="1"/>
    <col min="9" max="9" width="21.77734375" customWidth="1"/>
    <col min="10" max="10" width="20.44140625" customWidth="1"/>
    <col min="11" max="11" width="23.5546875" customWidth="1"/>
    <col min="12" max="12" width="22.5546875" customWidth="1"/>
  </cols>
  <sheetData>
    <row r="1" spans="1:12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0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Fiscal Years</vt:lpstr>
      <vt:lpstr>Accounts</vt:lpstr>
      <vt:lpstr>Journal Entries</vt:lpstr>
      <vt:lpstr>Departments</vt:lpstr>
      <vt:lpstr>Employees</vt:lpstr>
      <vt:lpstr>Segments</vt:lpstr>
      <vt:lpstr>Raw Material</vt:lpstr>
      <vt:lpstr>Trading</vt:lpstr>
      <vt:lpstr>Products</vt:lpstr>
      <vt:lpstr>Services</vt:lpstr>
      <vt:lpstr>Assets</vt:lpstr>
      <vt:lpstr>Customers</vt:lpstr>
      <vt:lpstr>Suppliers</vt:lpstr>
      <vt:lpstr>Invoices</vt:lpstr>
      <vt:lpstr>Presets</vt:lpstr>
      <vt:lpstr>Vehicles</vt:lpstr>
      <vt:lpstr>Invoices!arial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Abbas Abdelrahman Eissa Teirab</cp:lastModifiedBy>
  <cp:revision>82</cp:revision>
  <dcterms:created xsi:type="dcterms:W3CDTF">2024-05-08T05:32:11Z</dcterms:created>
  <dcterms:modified xsi:type="dcterms:W3CDTF">2026-04-16T03:49:24Z</dcterms:modified>
  <dc:language>en-US</dc:language>
</cp:coreProperties>
</file>